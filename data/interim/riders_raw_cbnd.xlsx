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Vinay\UB\Sem3\Troy and Banks\Code\tariff_demo\data\"/>
    </mc:Choice>
  </mc:AlternateContent>
  <xr:revisionPtr revIDLastSave="0" documentId="13_ncr:1_{666AD04A-5D7B-4315-AB37-363DF168DF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" sheetId="1" r:id="rId1"/>
  </sheets>
  <calcPr calcId="191029"/>
  <extLst>
    <ext uri="GoogleSheetsCustomDataVersion2">
      <go:sheetsCustomData xmlns:go="http://customooxmlschemas.google.com/" r:id="rId5" roundtripDataChecksum="OcEq9pko6akltnt5ct6M4NfoWGM14+sN6bxPB3xa4DQ="/>
    </ext>
  </extLst>
</workbook>
</file>

<file path=xl/calcChain.xml><?xml version="1.0" encoding="utf-8"?>
<calcChain xmlns="http://schemas.openxmlformats.org/spreadsheetml/2006/main">
  <c r="AB21" i="1" l="1"/>
  <c r="AB20" i="1"/>
  <c r="AB19" i="1"/>
  <c r="AB18" i="1"/>
  <c r="AB17" i="1"/>
  <c r="AB14" i="1"/>
  <c r="AC9" i="1" a="1"/>
  <c r="AC9" i="1" s="1"/>
  <c r="AB9" i="1"/>
  <c r="AC8" i="1" a="1"/>
  <c r="AC8" i="1" s="1"/>
  <c r="AB8" i="1"/>
  <c r="AC7" i="1" a="1"/>
  <c r="AC7" i="1" s="1"/>
  <c r="AB7" i="1"/>
  <c r="AC6" i="1" a="1"/>
  <c r="AC6" i="1" s="1"/>
  <c r="AB6" i="1"/>
  <c r="AB5" i="1"/>
  <c r="AB4" i="1"/>
  <c r="AB3" i="1"/>
</calcChain>
</file>

<file path=xl/sharedStrings.xml><?xml version="1.0" encoding="utf-8"?>
<sst xmlns="http://schemas.openxmlformats.org/spreadsheetml/2006/main" count="264" uniqueCount="99">
  <si>
    <t>RATE SCHEDULE</t>
  </si>
  <si>
    <t>RIDER U-PREV PH-CM</t>
  </si>
  <si>
    <t>RIDER U-FUTURE PH-CM</t>
  </si>
  <si>
    <t>RIDER CCR-CM</t>
  </si>
  <si>
    <t>RIDER SNA-CM</t>
  </si>
  <si>
    <t>RIDER OSW-CM</t>
  </si>
  <si>
    <t>RIDER GT-CM</t>
  </si>
  <si>
    <t>RIDER GT-Plan Credit Rider</t>
  </si>
  <si>
    <t>RIDER PIPP-CM</t>
  </si>
  <si>
    <t>RIDER GEN-CM</t>
  </si>
  <si>
    <t>RIDER DIST-CM</t>
  </si>
  <si>
    <t>RIDER SMR-CM</t>
  </si>
  <si>
    <t>VOLUNTARY CREDIT RIDER</t>
  </si>
  <si>
    <t>RIDER A-CM</t>
  </si>
  <si>
    <t>RIDER T-CM</t>
  </si>
  <si>
    <t>RIDER B-CM</t>
  </si>
  <si>
    <t>RIDER BW-CM</t>
  </si>
  <si>
    <t>RIDER GV-CM</t>
  </si>
  <si>
    <t>RIDER US2-CM</t>
  </si>
  <si>
    <t>RIDER US3-CM</t>
  </si>
  <si>
    <t>RIDER US4-CM</t>
  </si>
  <si>
    <t>RIDER RPS-CM</t>
  </si>
  <si>
    <t>RIDER CE-CM</t>
  </si>
  <si>
    <t>RIDER RBB-CM</t>
  </si>
  <si>
    <t>RIDER E-CM</t>
  </si>
  <si>
    <t>AGGREGATE RIDER ADJUSTMENT PER KWH</t>
  </si>
  <si>
    <t>PUBLIC AUTHORITY</t>
  </si>
  <si>
    <t>SCHEDULE 100</t>
  </si>
  <si>
    <t>$0.001242/kWh</t>
  </si>
  <si>
    <t>$0.002699/kWh</t>
  </si>
  <si>
    <t>$0.007003/kWh</t>
  </si>
  <si>
    <t>$0.000000/kWh</t>
  </si>
  <si>
    <t>$0.004320/kWh</t>
  </si>
  <si>
    <t>$0.004063/kWh</t>
  </si>
  <si>
    <t>$0.000222/kWh</t>
  </si>
  <si>
    <t>$0.020968/kWh</t>
  </si>
  <si>
    <t>$0.014945/kWh</t>
  </si>
  <si>
    <t>$0.008637/kWh</t>
  </si>
  <si>
    <t>$0.001673/kWh</t>
  </si>
  <si>
    <t>$0.000473/kWh</t>
  </si>
  <si>
    <t>$0.000730/kWh</t>
  </si>
  <si>
    <t>SCHEDULE 110</t>
  </si>
  <si>
    <t>SCHEDULE 120</t>
  </si>
  <si>
    <t>$0.018961/kWh</t>
  </si>
  <si>
    <t>SCHEDULE 130</t>
  </si>
  <si>
    <t>$0.835/KW</t>
  </si>
  <si>
    <t>$2.172/kW</t>
  </si>
  <si>
    <t>$1.340/kW</t>
  </si>
  <si>
    <t>$1.281/kW</t>
  </si>
  <si>
    <t>$0.069/kW</t>
  </si>
  <si>
    <t>$4.485/KW</t>
  </si>
  <si>
    <t>$0.520/KW</t>
  </si>
  <si>
    <t>$0.150/KW</t>
  </si>
  <si>
    <t>$0.226/KW</t>
  </si>
  <si>
    <t>SCHEDULE 131</t>
  </si>
  <si>
    <t>SCHEDULE 132</t>
  </si>
  <si>
    <t>$0.002472/kWh</t>
  </si>
  <si>
    <t>$0.006424/kWh</t>
  </si>
  <si>
    <t>$0.003950/kWh</t>
  </si>
  <si>
    <t>$0.709/kW</t>
  </si>
  <si>
    <t>$0.000204/kWh</t>
  </si>
  <si>
    <t>$0.001540/kWh</t>
  </si>
  <si>
    <t>$0.085/KW</t>
  </si>
  <si>
    <t>$0.000666/kWh</t>
  </si>
  <si>
    <t>SCHEDULE 134</t>
  </si>
  <si>
    <t>RIDERS</t>
  </si>
  <si>
    <t>TRAFFIC</t>
  </si>
  <si>
    <t>RIDERS WITHDRAW - Consolidated with Rider GEN-CM</t>
  </si>
  <si>
    <t>RIDERS WITHDRAW</t>
  </si>
  <si>
    <t>WITHDRAW</t>
  </si>
  <si>
    <t>RIDER WITHDRAWN</t>
  </si>
  <si>
    <t>Consolidated with Rider DIST-CM</t>
  </si>
  <si>
    <t>Consolidated with</t>
  </si>
  <si>
    <t>SCHEDULE 102</t>
  </si>
  <si>
    <t>$0.014616/kWh</t>
  </si>
  <si>
    <t>Rider DIST-CM</t>
  </si>
  <si>
    <t>OUTDOOR LIGHTING</t>
  </si>
  <si>
    <t>SCHEDULE 150</t>
  </si>
  <si>
    <t>$0.012130/kWh</t>
  </si>
  <si>
    <t>SCHEDULE 151</t>
  </si>
  <si>
    <t>SCHEDULE 154</t>
  </si>
  <si>
    <t>SCHEDULE SMH</t>
  </si>
  <si>
    <t>SCHDULE SMH</t>
  </si>
  <si>
    <t>SCHDULE SSL</t>
  </si>
  <si>
    <t>TOTAL COUNTY/MUNI REVENUE REQUIREMENT</t>
  </si>
  <si>
    <t>$0</t>
  </si>
  <si>
    <t>$5,696,902</t>
  </si>
  <si>
    <t>$11,605,475</t>
  </si>
  <si>
    <t>$30,138,813</t>
  </si>
  <si>
    <t>$18,595,384</t>
  </si>
  <si>
    <t>$17,569,234</t>
  </si>
  <si>
    <t>$955,631</t>
  </si>
  <si>
    <t>N/A</t>
  </si>
  <si>
    <t>$65,051,506</t>
  </si>
  <si>
    <t>$39,601,743</t>
  </si>
  <si>
    <t>$7,208,424</t>
  </si>
  <si>
    <t>$2,057,014</t>
  </si>
  <si>
    <t>$3,137,891</t>
  </si>
  <si>
    <t>AGGREGATE RIDER ADJUSTMENT PER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</si>
</sst>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0000&quot;/kWh&quot;\ 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xSplit="1" topLeftCell="B1" activePane="topRight" state="frozen"/>
      <selection pane="topRight" activeCell="B2" sqref="B2"/>
    </sheetView>
  </sheetViews>
  <sheetFormatPr defaultColWidth="14.44140625" defaultRowHeight="15" customHeight="1" x14ac:dyDescent="0.3"/>
  <cols>
    <col min="1" max="1" width="39.88671875" customWidth="1"/>
    <col min="2" max="2" width="18.88671875" customWidth="1"/>
    <col min="3" max="3" width="28" customWidth="1"/>
    <col min="4" max="6" width="14.6640625" customWidth="1"/>
    <col min="7" max="7" width="15.33203125" customWidth="1"/>
    <col min="8" max="8" width="23.33203125" customWidth="1"/>
    <col min="9" max="12" width="14.6640625" customWidth="1"/>
    <col min="13" max="13" width="23.33203125" customWidth="1"/>
    <col min="14" max="14" width="14.6640625" customWidth="1"/>
    <col min="15" max="15" width="8.6640625" customWidth="1"/>
    <col min="16" max="16" width="39.88671875" customWidth="1"/>
    <col min="17" max="17" width="13.88671875" customWidth="1"/>
    <col min="18" max="18" width="10.88671875" customWidth="1"/>
    <col min="19" max="19" width="12.44140625" customWidth="1"/>
    <col min="20" max="20" width="45.33203125" customWidth="1"/>
    <col min="21" max="23" width="13" customWidth="1"/>
    <col min="24" max="27" width="13.88671875" customWidth="1"/>
    <col min="28" max="28" width="37.6640625" customWidth="1"/>
    <col min="29" max="29" width="36.33203125" bestFit="1" customWidth="1"/>
  </cols>
  <sheetData>
    <row r="1" spans="1:2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3" t="s">
        <v>98</v>
      </c>
    </row>
    <row r="2" spans="1:29" ht="14.25" customHeight="1" x14ac:dyDescent="0.3">
      <c r="A2" s="2" t="s">
        <v>26</v>
      </c>
      <c r="P2" s="4" t="s">
        <v>26</v>
      </c>
      <c r="AB2" s="4"/>
    </row>
    <row r="3" spans="1:29" ht="14.25" customHeight="1" x14ac:dyDescent="0.3">
      <c r="A3" s="4" t="s">
        <v>27</v>
      </c>
      <c r="D3" s="4" t="s">
        <v>28</v>
      </c>
      <c r="E3" s="4" t="s">
        <v>29</v>
      </c>
      <c r="F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N3" s="4" t="s">
        <v>35</v>
      </c>
      <c r="P3" s="4" t="s">
        <v>27</v>
      </c>
      <c r="Q3" s="4" t="s">
        <v>36</v>
      </c>
      <c r="X3" s="4" t="s">
        <v>37</v>
      </c>
      <c r="Y3" s="4" t="s">
        <v>38</v>
      </c>
      <c r="Z3" s="4" t="s">
        <v>39</v>
      </c>
      <c r="AA3" s="4" t="s">
        <v>40</v>
      </c>
      <c r="AB3" s="4">
        <f t="shared" ref="AB3:AB9" si="0">SUM(
 IFERROR(VALUE(SUBSTITUTE(SUBSTITUTE(SUBSTITUTE(SUBSTITUTE(SUBSTITUTE(D3,"$",""),"kWh",""),"KWH",""),"/","")," ","")),0),
 IFERROR(VALUE(SUBSTITUTE(SUBSTITUTE(SUBSTITUTE(SUBSTITUTE(SUBSTITUTE(E3,"$",""),"kWh",""),"KWH",""),"/","")," ","")),0),
 IFERROR(VALUE(SUBSTITUTE(SUBSTITUTE(SUBSTITUTE(SUBSTITUTE(SUBSTITUTE(F3,"$",""),"kWh",""),"KWH",""),"/","")," ","")),0),
 IFERROR(VALUE(SUBSTITUTE(SUBSTITUTE(SUBSTITUTE(SUBSTITUTE(SUBSTITUTE(I3,"$",""),"kWh",""),"KWH",""),"/","")," ","")),0),
 IFERROR(VALUE(SUBSTITUTE(SUBSTITUTE(SUBSTITUTE(SUBSTITUTE(SUBSTITUTE(J3,"$",""),"kWh",""),"KWH",""),"/","")," ","")),0),
 IFERROR(VALUE(SUBSTITUTE(SUBSTITUTE(SUBSTITUTE(SUBSTITUTE(SUBSTITUTE(K3,"$",""),"kWh",""),"KWH",""),"/","")," ","")),0),
 IFERROR(VALUE(SUBSTITUTE(SUBSTITUTE(SUBSTITUTE(SUBSTITUTE(SUBSTITUTE(L3,"$",""),"kWh",""),"KWH",""),"/","")," ","")),0),
 IFERROR(VALUE(SUBSTITUTE(SUBSTITUTE(SUBSTITUTE(SUBSTITUTE(SUBSTITUTE(N3,"$",""),"kWh",""),"KWH",""),"/","")," ","")),0),
 IFERROR(VALUE(SUBSTITUTE(SUBSTITUTE(SUBSTITUTE(SUBSTITUTE(SUBSTITUTE(Q3,"$",""),"kWh",""),"KWH",""),"/","")," ","")),0),
 IFERROR(VALUE(SUBSTITUTE(SUBSTITUTE(SUBSTITUTE(SUBSTITUTE(SUBSTITUTE(X3,"$",""),"kWh",""),"KWH",""),"/","")," ","")),0),
 IFERROR(VALUE(SUBSTITUTE(SUBSTITUTE(SUBSTITUTE(SUBSTITUTE(SUBSTITUTE(Y3,"$",""),"kWh",""),"KWH",""),"/","")," ","")),0),
 IFERROR(VALUE(SUBSTITUTE(SUBSTITUTE(SUBSTITUTE(SUBSTITUTE(SUBSTITUTE(Z3,"$",""),"kWh",""),"KWH",""),"/","")," ","")),0),
 IFERROR(VALUE(SUBSTITUTE(SUBSTITUTE(SUBSTITUTE(SUBSTITUTE(SUBSTITUTE(AA3,"$",""),"kWh",""),"KWH",""),"/","")," ","")),0)
)</f>
        <v>6.6974999999999993E-2</v>
      </c>
    </row>
    <row r="4" spans="1:29" ht="14.25" customHeight="1" x14ac:dyDescent="0.3">
      <c r="A4" s="4" t="s">
        <v>41</v>
      </c>
      <c r="D4" s="4" t="s">
        <v>28</v>
      </c>
      <c r="E4" s="4" t="s">
        <v>29</v>
      </c>
      <c r="F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N4" s="4" t="s">
        <v>35</v>
      </c>
      <c r="P4" s="4" t="s">
        <v>41</v>
      </c>
      <c r="Q4" s="4" t="s">
        <v>36</v>
      </c>
      <c r="X4" s="4" t="s">
        <v>37</v>
      </c>
      <c r="Y4" s="4" t="s">
        <v>38</v>
      </c>
      <c r="Z4" s="4" t="s">
        <v>39</v>
      </c>
      <c r="AA4" s="4" t="s">
        <v>40</v>
      </c>
      <c r="AB4" s="4">
        <f t="shared" si="0"/>
        <v>6.6974999999999993E-2</v>
      </c>
    </row>
    <row r="5" spans="1:29" ht="14.25" customHeight="1" x14ac:dyDescent="0.3">
      <c r="A5" s="4" t="s">
        <v>42</v>
      </c>
      <c r="D5" s="4" t="s">
        <v>28</v>
      </c>
      <c r="E5" s="4" t="s">
        <v>29</v>
      </c>
      <c r="F5" s="4" t="s">
        <v>30</v>
      </c>
      <c r="I5" s="4" t="s">
        <v>31</v>
      </c>
      <c r="J5" s="4" t="s">
        <v>32</v>
      </c>
      <c r="K5" s="4" t="s">
        <v>33</v>
      </c>
      <c r="L5" s="4" t="s">
        <v>34</v>
      </c>
      <c r="N5" s="4" t="s">
        <v>35</v>
      </c>
      <c r="P5" s="4" t="s">
        <v>42</v>
      </c>
      <c r="Q5" s="4" t="s">
        <v>43</v>
      </c>
      <c r="X5" s="4" t="s">
        <v>37</v>
      </c>
      <c r="Y5" s="4" t="s">
        <v>38</v>
      </c>
      <c r="Z5" s="4" t="s">
        <v>39</v>
      </c>
      <c r="AA5" s="4" t="s">
        <v>40</v>
      </c>
      <c r="AB5" s="4">
        <f t="shared" si="0"/>
        <v>7.0990999999999985E-2</v>
      </c>
    </row>
    <row r="6" spans="1:29" ht="14.25" customHeight="1" x14ac:dyDescent="0.3">
      <c r="A6" s="4" t="s">
        <v>44</v>
      </c>
      <c r="D6" s="4" t="s">
        <v>28</v>
      </c>
      <c r="E6" s="4" t="s">
        <v>45</v>
      </c>
      <c r="F6" s="4" t="s">
        <v>46</v>
      </c>
      <c r="I6" s="4" t="s">
        <v>31</v>
      </c>
      <c r="J6" s="4" t="s">
        <v>47</v>
      </c>
      <c r="K6" s="4" t="s">
        <v>48</v>
      </c>
      <c r="L6" s="4" t="s">
        <v>49</v>
      </c>
      <c r="N6" s="4" t="s">
        <v>35</v>
      </c>
      <c r="P6" s="4" t="s">
        <v>44</v>
      </c>
      <c r="Q6" s="4" t="s">
        <v>50</v>
      </c>
      <c r="X6" s="4" t="s">
        <v>37</v>
      </c>
      <c r="Y6" s="4" t="s">
        <v>51</v>
      </c>
      <c r="Z6" s="4" t="s">
        <v>52</v>
      </c>
      <c r="AA6" s="4" t="s">
        <v>53</v>
      </c>
      <c r="AB6" s="4">
        <f t="shared" si="0"/>
        <v>3.0846999999999999E-2</v>
      </c>
      <c r="AC6" s="5">
        <f t="array" ref="AC6">SUMPRODUCT(
  IFERROR(
    VALUE(
      SUBSTITUTE(
        SUBSTITUTE(
          SUBSTITUTE(
            SUBSTITUTE(
              SUBSTITUTE($B6:$AA6,"$",""),
            "kW",""),
          "KW",""),
        "/",""),
      " ","")
    ),
  0),
  --ISNUMBER(SEARCH("kW",$B6:$AA6))
)</f>
        <v>11.078000000000001</v>
      </c>
    </row>
    <row r="7" spans="1:29" ht="14.25" customHeight="1" x14ac:dyDescent="0.3">
      <c r="A7" s="4" t="s">
        <v>54</v>
      </c>
      <c r="D7" s="4" t="s">
        <v>28</v>
      </c>
      <c r="E7" s="4" t="s">
        <v>45</v>
      </c>
      <c r="F7" s="4" t="s">
        <v>46</v>
      </c>
      <c r="I7" s="4" t="s">
        <v>31</v>
      </c>
      <c r="J7" s="4" t="s">
        <v>47</v>
      </c>
      <c r="K7" s="4" t="s">
        <v>48</v>
      </c>
      <c r="L7" s="4" t="s">
        <v>49</v>
      </c>
      <c r="N7" s="4" t="s">
        <v>35</v>
      </c>
      <c r="P7" s="4" t="s">
        <v>54</v>
      </c>
      <c r="Q7" s="4" t="s">
        <v>50</v>
      </c>
      <c r="X7" s="4" t="s">
        <v>37</v>
      </c>
      <c r="Y7" s="4" t="s">
        <v>51</v>
      </c>
      <c r="Z7" s="4" t="s">
        <v>52</v>
      </c>
      <c r="AA7" s="4" t="s">
        <v>53</v>
      </c>
      <c r="AB7" s="4">
        <f t="shared" si="0"/>
        <v>3.0846999999999999E-2</v>
      </c>
      <c r="AC7" s="5">
        <f t="array" ref="AC7">SUMPRODUCT(
  IFERROR(
    VALUE(
      SUBSTITUTE(
        SUBSTITUTE(
          SUBSTITUTE(
            SUBSTITUTE(
              SUBSTITUTE($B7:$AA7,"$",""),
            "kW",""),
          "KW",""),
        "/",""),
      " ","")
    ),
  0),
  --ISNUMBER(SEARCH("kW",$B7:$AA7))
)</f>
        <v>11.078000000000001</v>
      </c>
    </row>
    <row r="8" spans="1:29" ht="14.25" customHeight="1" x14ac:dyDescent="0.3">
      <c r="A8" s="4" t="s">
        <v>55</v>
      </c>
      <c r="D8" s="4" t="s">
        <v>28</v>
      </c>
      <c r="E8" s="4" t="s">
        <v>56</v>
      </c>
      <c r="F8" s="4" t="s">
        <v>57</v>
      </c>
      <c r="I8" s="4" t="s">
        <v>31</v>
      </c>
      <c r="J8" s="4" t="s">
        <v>58</v>
      </c>
      <c r="K8" s="4" t="s">
        <v>59</v>
      </c>
      <c r="L8" s="4" t="s">
        <v>60</v>
      </c>
      <c r="N8" s="4" t="s">
        <v>35</v>
      </c>
      <c r="P8" s="4" t="s">
        <v>55</v>
      </c>
      <c r="Q8" s="4" t="s">
        <v>50</v>
      </c>
      <c r="X8" s="4" t="s">
        <v>37</v>
      </c>
      <c r="Y8" s="4" t="s">
        <v>61</v>
      </c>
      <c r="Z8" s="4" t="s">
        <v>62</v>
      </c>
      <c r="AA8" s="4" t="s">
        <v>63</v>
      </c>
      <c r="AB8" s="4">
        <f t="shared" si="0"/>
        <v>4.6102999999999998E-2</v>
      </c>
      <c r="AC8" s="5">
        <f t="array" ref="AC8">SUMPRODUCT(
  IFERROR(
    VALUE(
      SUBSTITUTE(
        SUBSTITUTE(
          SUBSTITUTE(
            SUBSTITUTE(
              SUBSTITUTE($B8:$AA8,"$",""),
            "kW",""),
          "KW",""),
        "/",""),
      " ","")
    ),
  0),
  --ISNUMBER(SEARCH("kW",$B8:$AA8))
)</f>
        <v>5.2789999999999999</v>
      </c>
    </row>
    <row r="9" spans="1:29" ht="14.25" customHeight="1" x14ac:dyDescent="0.3">
      <c r="A9" s="4" t="s">
        <v>64</v>
      </c>
      <c r="D9" s="4" t="s">
        <v>28</v>
      </c>
      <c r="E9" s="4" t="s">
        <v>45</v>
      </c>
      <c r="F9" s="4" t="s">
        <v>46</v>
      </c>
      <c r="I9" s="4" t="s">
        <v>31</v>
      </c>
      <c r="J9" s="4" t="s">
        <v>47</v>
      </c>
      <c r="K9" s="4" t="s">
        <v>48</v>
      </c>
      <c r="L9" s="4" t="s">
        <v>49</v>
      </c>
      <c r="N9" s="4" t="s">
        <v>35</v>
      </c>
      <c r="P9" s="4" t="s">
        <v>64</v>
      </c>
      <c r="Q9" s="4" t="s">
        <v>50</v>
      </c>
      <c r="X9" s="4" t="s">
        <v>37</v>
      </c>
      <c r="Y9" s="4" t="s">
        <v>51</v>
      </c>
      <c r="Z9" s="4" t="s">
        <v>52</v>
      </c>
      <c r="AA9" s="4" t="s">
        <v>53</v>
      </c>
      <c r="AB9" s="4">
        <f t="shared" si="0"/>
        <v>3.0846999999999999E-2</v>
      </c>
      <c r="AC9" s="5">
        <f t="array" ref="AC9">SUMPRODUCT(
  IFERROR(
    VALUE(
      SUBSTITUTE(
        SUBSTITUTE(
          SUBSTITUTE(
            SUBSTITUTE(
              SUBSTITUTE($B9:$AA9,"$",""),
            "kW",""),
          "KW",""),
        "/",""),
      " ","")
    ),
  0),
  --ISNUMBER(SEARCH("kW",$B9:$AA9))
)</f>
        <v>11.078000000000001</v>
      </c>
    </row>
    <row r="10" spans="1:29" ht="14.25" customHeight="1" x14ac:dyDescent="0.3">
      <c r="G10" s="4" t="s">
        <v>65</v>
      </c>
      <c r="P10" s="4" t="s">
        <v>66</v>
      </c>
      <c r="T10" s="4" t="s">
        <v>67</v>
      </c>
      <c r="AB10" s="4"/>
    </row>
    <row r="11" spans="1:29" ht="14.25" customHeight="1" x14ac:dyDescent="0.3">
      <c r="C11" s="4" t="s">
        <v>68</v>
      </c>
      <c r="G11" s="4" t="s">
        <v>69</v>
      </c>
      <c r="AB11" s="4"/>
    </row>
    <row r="12" spans="1:29" ht="14.25" customHeight="1" x14ac:dyDescent="0.3">
      <c r="A12" s="2" t="s">
        <v>66</v>
      </c>
      <c r="H12" s="4" t="s">
        <v>70</v>
      </c>
      <c r="M12" s="4" t="s">
        <v>70</v>
      </c>
      <c r="AB12" s="4"/>
    </row>
    <row r="13" spans="1:29" ht="14.25" customHeight="1" x14ac:dyDescent="0.3">
      <c r="C13" s="4" t="s">
        <v>71</v>
      </c>
      <c r="G13" s="4" t="s">
        <v>72</v>
      </c>
      <c r="AB13" s="4"/>
    </row>
    <row r="14" spans="1:29" ht="14.25" customHeight="1" x14ac:dyDescent="0.3">
      <c r="A14" s="4" t="s">
        <v>73</v>
      </c>
      <c r="D14" s="4" t="s">
        <v>28</v>
      </c>
      <c r="E14" s="4" t="s">
        <v>29</v>
      </c>
      <c r="F14" s="4" t="s">
        <v>30</v>
      </c>
      <c r="I14" s="4" t="s">
        <v>31</v>
      </c>
      <c r="J14" s="4" t="s">
        <v>32</v>
      </c>
      <c r="K14" s="4" t="s">
        <v>33</v>
      </c>
      <c r="L14" s="4" t="s">
        <v>34</v>
      </c>
      <c r="N14" s="4" t="s">
        <v>35</v>
      </c>
      <c r="P14" s="4" t="s">
        <v>73</v>
      </c>
      <c r="Q14" s="4" t="s">
        <v>74</v>
      </c>
      <c r="X14" s="4" t="s">
        <v>37</v>
      </c>
      <c r="Y14" s="4" t="s">
        <v>38</v>
      </c>
      <c r="Z14" s="4" t="s">
        <v>39</v>
      </c>
      <c r="AA14" s="4" t="s">
        <v>40</v>
      </c>
      <c r="AB14" s="4">
        <f>SUM(
 IFERROR(VALUE(SUBSTITUTE(SUBSTITUTE(SUBSTITUTE(SUBSTITUTE(SUBSTITUTE(D14,"$",""),"kWh",""),"KWH",""),"/","")," ","")),0),
 IFERROR(VALUE(SUBSTITUTE(SUBSTITUTE(SUBSTITUTE(SUBSTITUTE(SUBSTITUTE(E14,"$",""),"kWh",""),"KWH",""),"/","")," ","")),0),
 IFERROR(VALUE(SUBSTITUTE(SUBSTITUTE(SUBSTITUTE(SUBSTITUTE(SUBSTITUTE(F14,"$",""),"kWh",""),"KWH",""),"/","")," ","")),0),
 IFERROR(VALUE(SUBSTITUTE(SUBSTITUTE(SUBSTITUTE(SUBSTITUTE(SUBSTITUTE(I14,"$",""),"kWh",""),"KWH",""),"/","")," ","")),0),
 IFERROR(VALUE(SUBSTITUTE(SUBSTITUTE(SUBSTITUTE(SUBSTITUTE(SUBSTITUTE(J14,"$",""),"kWh",""),"KWH",""),"/","")," ","")),0),
 IFERROR(VALUE(SUBSTITUTE(SUBSTITUTE(SUBSTITUTE(SUBSTITUTE(SUBSTITUTE(K14,"$",""),"kWh",""),"KWH",""),"/","")," ","")),0),
 IFERROR(VALUE(SUBSTITUTE(SUBSTITUTE(SUBSTITUTE(SUBSTITUTE(SUBSTITUTE(L14,"$",""),"kWh",""),"KWH",""),"/","")," ","")),0),
 IFERROR(VALUE(SUBSTITUTE(SUBSTITUTE(SUBSTITUTE(SUBSTITUTE(SUBSTITUTE(N14,"$",""),"kWh",""),"KWH",""),"/","")," ","")),0),
 IFERROR(VALUE(SUBSTITUTE(SUBSTITUTE(SUBSTITUTE(SUBSTITUTE(SUBSTITUTE(Q14,"$",""),"kWh",""),"KWH",""),"/","")," ","")),0),
 IFERROR(VALUE(SUBSTITUTE(SUBSTITUTE(SUBSTITUTE(SUBSTITUTE(SUBSTITUTE(X14,"$",""),"kWh",""),"KWH",""),"/","")," ","")),0),
 IFERROR(VALUE(SUBSTITUTE(SUBSTITUTE(SUBSTITUTE(SUBSTITUTE(SUBSTITUTE(Y14,"$",""),"kWh",""),"KWH",""),"/","")," ","")),0),
 IFERROR(VALUE(SUBSTITUTE(SUBSTITUTE(SUBSTITUTE(SUBSTITUTE(SUBSTITUTE(Z14,"$",""),"kWh",""),"KWH",""),"/","")," ","")),0),
 IFERROR(VALUE(SUBSTITUTE(SUBSTITUTE(SUBSTITUTE(SUBSTITUTE(SUBSTITUTE(AA14,"$",""),"kWh",""),"KWH",""),"/","")," ","")),0)
)</f>
        <v>6.6645999999999997E-2</v>
      </c>
    </row>
    <row r="15" spans="1:29" ht="14.25" customHeight="1" x14ac:dyDescent="0.3">
      <c r="G15" s="4" t="s">
        <v>75</v>
      </c>
      <c r="P15" s="4"/>
      <c r="AB15" s="4"/>
    </row>
    <row r="16" spans="1:29" ht="14.25" customHeight="1" x14ac:dyDescent="0.3">
      <c r="A16" s="2" t="s">
        <v>76</v>
      </c>
      <c r="P16" s="4" t="s">
        <v>76</v>
      </c>
      <c r="AB16" s="4"/>
    </row>
    <row r="17" spans="1:28" ht="14.25" customHeight="1" x14ac:dyDescent="0.3">
      <c r="A17" s="4" t="s">
        <v>77</v>
      </c>
      <c r="D17" s="4" t="s">
        <v>28</v>
      </c>
      <c r="E17" s="4" t="s">
        <v>29</v>
      </c>
      <c r="F17" s="4" t="s">
        <v>30</v>
      </c>
      <c r="I17" s="4" t="s">
        <v>31</v>
      </c>
      <c r="J17" s="4" t="s">
        <v>32</v>
      </c>
      <c r="K17" s="4" t="s">
        <v>33</v>
      </c>
      <c r="L17" s="4" t="s">
        <v>34</v>
      </c>
      <c r="N17" s="4" t="s">
        <v>35</v>
      </c>
      <c r="P17" s="4" t="s">
        <v>77</v>
      </c>
      <c r="Q17" s="4" t="s">
        <v>78</v>
      </c>
      <c r="X17" s="4" t="s">
        <v>37</v>
      </c>
      <c r="Y17" s="4" t="s">
        <v>38</v>
      </c>
      <c r="Z17" s="4" t="s">
        <v>39</v>
      </c>
      <c r="AA17" s="4" t="s">
        <v>40</v>
      </c>
      <c r="AB17" s="4">
        <f t="shared" ref="AB17:AB21" si="1">SUM(
 IFERROR(VALUE(SUBSTITUTE(SUBSTITUTE(SUBSTITUTE(SUBSTITUTE(SUBSTITUTE(D17,"$",""),"kWh",""),"KWH",""),"/","")," ","")),0),
 IFERROR(VALUE(SUBSTITUTE(SUBSTITUTE(SUBSTITUTE(SUBSTITUTE(SUBSTITUTE(E17,"$",""),"kWh",""),"KWH",""),"/","")," ","")),0),
 IFERROR(VALUE(SUBSTITUTE(SUBSTITUTE(SUBSTITUTE(SUBSTITUTE(SUBSTITUTE(F17,"$",""),"kWh",""),"KWH",""),"/","")," ","")),0),
 IFERROR(VALUE(SUBSTITUTE(SUBSTITUTE(SUBSTITUTE(SUBSTITUTE(SUBSTITUTE(I17,"$",""),"kWh",""),"KWH",""),"/","")," ","")),0),
 IFERROR(VALUE(SUBSTITUTE(SUBSTITUTE(SUBSTITUTE(SUBSTITUTE(SUBSTITUTE(J17,"$",""),"kWh",""),"KWH",""),"/","")," ","")),0),
 IFERROR(VALUE(SUBSTITUTE(SUBSTITUTE(SUBSTITUTE(SUBSTITUTE(SUBSTITUTE(K17,"$",""),"kWh",""),"KWH",""),"/","")," ","")),0),
 IFERROR(VALUE(SUBSTITUTE(SUBSTITUTE(SUBSTITUTE(SUBSTITUTE(SUBSTITUTE(L17,"$",""),"kWh",""),"KWH",""),"/","")," ","")),0),
 IFERROR(VALUE(SUBSTITUTE(SUBSTITUTE(SUBSTITUTE(SUBSTITUTE(SUBSTITUTE(N17,"$",""),"kWh",""),"KWH",""),"/","")," ","")),0),
 IFERROR(VALUE(SUBSTITUTE(SUBSTITUTE(SUBSTITUTE(SUBSTITUTE(SUBSTITUTE(Q17,"$",""),"kWh",""),"KWH",""),"/","")," ","")),0),
 IFERROR(VALUE(SUBSTITUTE(SUBSTITUTE(SUBSTITUTE(SUBSTITUTE(SUBSTITUTE(X17,"$",""),"kWh",""),"KWH",""),"/","")," ","")),0),
 IFERROR(VALUE(SUBSTITUTE(SUBSTITUTE(SUBSTITUTE(SUBSTITUTE(SUBSTITUTE(Y17,"$",""),"kWh",""),"KWH",""),"/","")," ","")),0),
 IFERROR(VALUE(SUBSTITUTE(SUBSTITUTE(SUBSTITUTE(SUBSTITUTE(SUBSTITUTE(Z17,"$",""),"kWh",""),"KWH",""),"/","")," ","")),0),
 IFERROR(VALUE(SUBSTITUTE(SUBSTITUTE(SUBSTITUTE(SUBSTITUTE(SUBSTITUTE(AA17,"$",""),"kWh",""),"KWH",""),"/","")," ","")),0)
)</f>
        <v>6.4159999999999995E-2</v>
      </c>
    </row>
    <row r="18" spans="1:28" ht="14.25" customHeight="1" x14ac:dyDescent="0.3">
      <c r="A18" s="4" t="s">
        <v>79</v>
      </c>
      <c r="D18" s="4" t="s">
        <v>28</v>
      </c>
      <c r="E18" s="4" t="s">
        <v>29</v>
      </c>
      <c r="F18" s="4" t="s">
        <v>30</v>
      </c>
      <c r="I18" s="4" t="s">
        <v>31</v>
      </c>
      <c r="J18" s="4" t="s">
        <v>32</v>
      </c>
      <c r="K18" s="4" t="s">
        <v>33</v>
      </c>
      <c r="L18" s="4" t="s">
        <v>34</v>
      </c>
      <c r="N18" s="4" t="s">
        <v>35</v>
      </c>
      <c r="P18" s="4" t="s">
        <v>79</v>
      </c>
      <c r="Q18" s="4" t="s">
        <v>78</v>
      </c>
      <c r="X18" s="4" t="s">
        <v>37</v>
      </c>
      <c r="Y18" s="4" t="s">
        <v>38</v>
      </c>
      <c r="Z18" s="4" t="s">
        <v>39</v>
      </c>
      <c r="AA18" s="4" t="s">
        <v>40</v>
      </c>
      <c r="AB18" s="4">
        <f t="shared" si="1"/>
        <v>6.4159999999999995E-2</v>
      </c>
    </row>
    <row r="19" spans="1:28" ht="14.25" customHeight="1" x14ac:dyDescent="0.3">
      <c r="A19" s="4" t="s">
        <v>80</v>
      </c>
      <c r="D19" s="4" t="s">
        <v>28</v>
      </c>
      <c r="E19" s="4" t="s">
        <v>29</v>
      </c>
      <c r="F19" s="4" t="s">
        <v>30</v>
      </c>
      <c r="I19" s="4" t="s">
        <v>31</v>
      </c>
      <c r="J19" s="4" t="s">
        <v>32</v>
      </c>
      <c r="K19" s="4" t="s">
        <v>33</v>
      </c>
      <c r="L19" s="4" t="s">
        <v>34</v>
      </c>
      <c r="N19" s="4" t="s">
        <v>35</v>
      </c>
      <c r="P19" s="4" t="s">
        <v>80</v>
      </c>
      <c r="Q19" s="4" t="s">
        <v>78</v>
      </c>
      <c r="X19" s="4" t="s">
        <v>37</v>
      </c>
      <c r="Y19" s="4" t="s">
        <v>38</v>
      </c>
      <c r="Z19" s="4" t="s">
        <v>39</v>
      </c>
      <c r="AA19" s="4" t="s">
        <v>40</v>
      </c>
      <c r="AB19" s="4">
        <f t="shared" si="1"/>
        <v>6.4159999999999995E-2</v>
      </c>
    </row>
    <row r="20" spans="1:28" ht="14.25" customHeight="1" x14ac:dyDescent="0.3">
      <c r="A20" s="4" t="s">
        <v>81</v>
      </c>
      <c r="D20" s="4" t="s">
        <v>28</v>
      </c>
      <c r="E20" s="4" t="s">
        <v>29</v>
      </c>
      <c r="F20" s="4" t="s">
        <v>30</v>
      </c>
      <c r="I20" s="4" t="s">
        <v>31</v>
      </c>
      <c r="J20" s="4" t="s">
        <v>32</v>
      </c>
      <c r="K20" s="4" t="s">
        <v>33</v>
      </c>
      <c r="L20" s="4" t="s">
        <v>34</v>
      </c>
      <c r="N20" s="4" t="s">
        <v>35</v>
      </c>
      <c r="P20" s="4" t="s">
        <v>82</v>
      </c>
      <c r="Q20" s="4" t="s">
        <v>78</v>
      </c>
      <c r="X20" s="4" t="s">
        <v>37</v>
      </c>
      <c r="Y20" s="4" t="s">
        <v>38</v>
      </c>
      <c r="Z20" s="4" t="s">
        <v>39</v>
      </c>
      <c r="AA20" s="4" t="s">
        <v>40</v>
      </c>
      <c r="AB20" s="4">
        <f t="shared" si="1"/>
        <v>6.4159999999999995E-2</v>
      </c>
    </row>
    <row r="21" spans="1:28" ht="14.25" customHeight="1" x14ac:dyDescent="0.3">
      <c r="A21" s="4" t="s">
        <v>83</v>
      </c>
      <c r="D21" s="4" t="s">
        <v>28</v>
      </c>
      <c r="E21" s="4" t="s">
        <v>29</v>
      </c>
      <c r="F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N21" s="4" t="s">
        <v>35</v>
      </c>
      <c r="P21" s="4" t="s">
        <v>83</v>
      </c>
      <c r="Q21" s="4" t="s">
        <v>78</v>
      </c>
      <c r="X21" s="4" t="s">
        <v>37</v>
      </c>
      <c r="Y21" s="4" t="s">
        <v>38</v>
      </c>
      <c r="Z21" s="4" t="s">
        <v>39</v>
      </c>
      <c r="AA21" s="4" t="s">
        <v>40</v>
      </c>
      <c r="AB21" s="4">
        <f t="shared" si="1"/>
        <v>6.4159999999999995E-2</v>
      </c>
    </row>
    <row r="22" spans="1:28" ht="14.25" customHeight="1" x14ac:dyDescent="0.3">
      <c r="A22" s="4" t="s">
        <v>84</v>
      </c>
      <c r="B22" s="4" t="s">
        <v>85</v>
      </c>
      <c r="C22" s="4" t="s">
        <v>85</v>
      </c>
      <c r="D22" s="4" t="s">
        <v>86</v>
      </c>
      <c r="E22" s="4" t="s">
        <v>87</v>
      </c>
      <c r="F22" s="4" t="s">
        <v>88</v>
      </c>
      <c r="G22" s="4" t="s">
        <v>85</v>
      </c>
      <c r="H22" s="4" t="s">
        <v>85</v>
      </c>
      <c r="I22" s="4" t="s">
        <v>85</v>
      </c>
      <c r="J22" s="4" t="s">
        <v>89</v>
      </c>
      <c r="K22" s="4" t="s">
        <v>90</v>
      </c>
      <c r="L22" s="4" t="s">
        <v>91</v>
      </c>
      <c r="M22" s="4" t="s">
        <v>85</v>
      </c>
      <c r="N22" s="4" t="s">
        <v>92</v>
      </c>
      <c r="P22" s="4" t="s">
        <v>84</v>
      </c>
      <c r="Q22" s="4" t="s">
        <v>93</v>
      </c>
      <c r="R22" s="4" t="s">
        <v>85</v>
      </c>
      <c r="S22" s="4" t="s">
        <v>85</v>
      </c>
      <c r="T22" s="4" t="s">
        <v>85</v>
      </c>
      <c r="U22" s="4" t="s">
        <v>85</v>
      </c>
      <c r="V22" s="4" t="s">
        <v>85</v>
      </c>
      <c r="W22" s="4" t="s">
        <v>85</v>
      </c>
      <c r="X22" s="4" t="s">
        <v>94</v>
      </c>
      <c r="Y22" s="4" t="s">
        <v>95</v>
      </c>
      <c r="Z22" s="4" t="s">
        <v>96</v>
      </c>
      <c r="AA22" s="4" t="s">
        <v>97</v>
      </c>
      <c r="AB22" s="4"/>
    </row>
    <row r="23" spans="1:28" ht="14.25" customHeight="1" x14ac:dyDescent="0.3">
      <c r="AB23" s="4"/>
    </row>
    <row r="24" spans="1:28" ht="14.25" customHeight="1" x14ac:dyDescent="0.3">
      <c r="AB24" s="4"/>
    </row>
    <row r="25" spans="1:28" ht="14.25" customHeight="1" x14ac:dyDescent="0.3">
      <c r="AB25" s="4"/>
    </row>
    <row r="26" spans="1:28" ht="14.25" customHeight="1" x14ac:dyDescent="0.3">
      <c r="AB26" s="4"/>
    </row>
    <row r="27" spans="1:28" ht="14.25" customHeight="1" x14ac:dyDescent="0.3">
      <c r="AB27" s="4"/>
    </row>
    <row r="28" spans="1:28" ht="14.25" customHeight="1" x14ac:dyDescent="0.3">
      <c r="AB28" s="4"/>
    </row>
    <row r="29" spans="1:28" ht="14.25" customHeight="1" x14ac:dyDescent="0.3">
      <c r="AB29" s="4"/>
    </row>
    <row r="30" spans="1:28" ht="14.25" customHeight="1" x14ac:dyDescent="0.3">
      <c r="AB30" s="4"/>
    </row>
    <row r="31" spans="1:28" ht="14.25" customHeight="1" x14ac:dyDescent="0.3">
      <c r="AB31" s="4"/>
    </row>
    <row r="32" spans="1:28" ht="14.25" customHeight="1" x14ac:dyDescent="0.3">
      <c r="AB32" s="4"/>
    </row>
    <row r="33" spans="28:28" ht="14.25" customHeight="1" x14ac:dyDescent="0.3">
      <c r="AB33" s="4"/>
    </row>
    <row r="34" spans="28:28" ht="14.25" customHeight="1" x14ac:dyDescent="0.3">
      <c r="AB34" s="4"/>
    </row>
    <row r="35" spans="28:28" ht="14.25" customHeight="1" x14ac:dyDescent="0.3">
      <c r="AB35" s="4"/>
    </row>
    <row r="36" spans="28:28" ht="14.25" customHeight="1" x14ac:dyDescent="0.3">
      <c r="AB36" s="4"/>
    </row>
    <row r="37" spans="28:28" ht="14.25" customHeight="1" x14ac:dyDescent="0.3">
      <c r="AB37" s="4"/>
    </row>
    <row r="38" spans="28:28" ht="14.25" customHeight="1" x14ac:dyDescent="0.3">
      <c r="AB38" s="4"/>
    </row>
    <row r="39" spans="28:28" ht="14.25" customHeight="1" x14ac:dyDescent="0.3">
      <c r="AB39" s="4"/>
    </row>
    <row r="40" spans="28:28" ht="14.25" customHeight="1" x14ac:dyDescent="0.3">
      <c r="AB40" s="4"/>
    </row>
    <row r="41" spans="28:28" ht="14.25" customHeight="1" x14ac:dyDescent="0.3">
      <c r="AB41" s="4"/>
    </row>
    <row r="42" spans="28:28" ht="14.25" customHeight="1" x14ac:dyDescent="0.3">
      <c r="AB42" s="4"/>
    </row>
    <row r="43" spans="28:28" ht="14.25" customHeight="1" x14ac:dyDescent="0.3">
      <c r="AB43" s="4"/>
    </row>
    <row r="44" spans="28:28" ht="14.25" customHeight="1" x14ac:dyDescent="0.3">
      <c r="AB44" s="4"/>
    </row>
    <row r="45" spans="28:28" ht="14.25" customHeight="1" x14ac:dyDescent="0.3">
      <c r="AB45" s="4"/>
    </row>
    <row r="46" spans="28:28" ht="14.25" customHeight="1" x14ac:dyDescent="0.3">
      <c r="AB46" s="4"/>
    </row>
    <row r="47" spans="28:28" ht="14.25" customHeight="1" x14ac:dyDescent="0.3">
      <c r="AB47" s="4"/>
    </row>
    <row r="48" spans="28:28" ht="14.25" customHeight="1" x14ac:dyDescent="0.3">
      <c r="AB48" s="4"/>
    </row>
    <row r="49" spans="28:28" ht="14.25" customHeight="1" x14ac:dyDescent="0.3">
      <c r="AB49" s="4"/>
    </row>
    <row r="50" spans="28:28" ht="14.25" customHeight="1" x14ac:dyDescent="0.3">
      <c r="AB50" s="4"/>
    </row>
    <row r="51" spans="28:28" ht="14.25" customHeight="1" x14ac:dyDescent="0.3">
      <c r="AB51" s="4"/>
    </row>
    <row r="52" spans="28:28" ht="14.25" customHeight="1" x14ac:dyDescent="0.3">
      <c r="AB52" s="4"/>
    </row>
    <row r="53" spans="28:28" ht="14.25" customHeight="1" x14ac:dyDescent="0.3">
      <c r="AB53" s="4"/>
    </row>
    <row r="54" spans="28:28" ht="14.25" customHeight="1" x14ac:dyDescent="0.3">
      <c r="AB54" s="4"/>
    </row>
    <row r="55" spans="28:28" ht="14.25" customHeight="1" x14ac:dyDescent="0.3">
      <c r="AB55" s="4"/>
    </row>
    <row r="56" spans="28:28" ht="14.25" customHeight="1" x14ac:dyDescent="0.3">
      <c r="AB56" s="4"/>
    </row>
    <row r="57" spans="28:28" ht="14.25" customHeight="1" x14ac:dyDescent="0.3">
      <c r="AB57" s="4"/>
    </row>
    <row r="58" spans="28:28" ht="14.25" customHeight="1" x14ac:dyDescent="0.3">
      <c r="AB58" s="4"/>
    </row>
    <row r="59" spans="28:28" ht="14.25" customHeight="1" x14ac:dyDescent="0.3">
      <c r="AB59" s="4"/>
    </row>
    <row r="60" spans="28:28" ht="14.25" customHeight="1" x14ac:dyDescent="0.3">
      <c r="AB60" s="4"/>
    </row>
    <row r="61" spans="28:28" ht="14.25" customHeight="1" x14ac:dyDescent="0.3">
      <c r="AB61" s="4"/>
    </row>
    <row r="62" spans="28:28" ht="14.25" customHeight="1" x14ac:dyDescent="0.3">
      <c r="AB62" s="4"/>
    </row>
    <row r="63" spans="28:28" ht="14.25" customHeight="1" x14ac:dyDescent="0.3">
      <c r="AB63" s="4"/>
    </row>
    <row r="64" spans="28:28" ht="14.25" customHeight="1" x14ac:dyDescent="0.3">
      <c r="AB64" s="4"/>
    </row>
    <row r="65" spans="28:28" ht="14.25" customHeight="1" x14ac:dyDescent="0.3">
      <c r="AB65" s="4"/>
    </row>
    <row r="66" spans="28:28" ht="14.25" customHeight="1" x14ac:dyDescent="0.3">
      <c r="AB66" s="4"/>
    </row>
    <row r="67" spans="28:28" ht="14.25" customHeight="1" x14ac:dyDescent="0.3">
      <c r="AB67" s="4"/>
    </row>
    <row r="68" spans="28:28" ht="14.25" customHeight="1" x14ac:dyDescent="0.3">
      <c r="AB68" s="4"/>
    </row>
    <row r="69" spans="28:28" ht="14.25" customHeight="1" x14ac:dyDescent="0.3">
      <c r="AB69" s="4"/>
    </row>
    <row r="70" spans="28:28" ht="14.25" customHeight="1" x14ac:dyDescent="0.3">
      <c r="AB70" s="4"/>
    </row>
    <row r="71" spans="28:28" ht="14.25" customHeight="1" x14ac:dyDescent="0.3">
      <c r="AB71" s="4"/>
    </row>
    <row r="72" spans="28:28" ht="14.25" customHeight="1" x14ac:dyDescent="0.3">
      <c r="AB72" s="4"/>
    </row>
    <row r="73" spans="28:28" ht="14.25" customHeight="1" x14ac:dyDescent="0.3">
      <c r="AB73" s="4"/>
    </row>
    <row r="74" spans="28:28" ht="14.25" customHeight="1" x14ac:dyDescent="0.3">
      <c r="AB74" s="4"/>
    </row>
    <row r="75" spans="28:28" ht="14.25" customHeight="1" x14ac:dyDescent="0.3">
      <c r="AB75" s="4"/>
    </row>
    <row r="76" spans="28:28" ht="14.25" customHeight="1" x14ac:dyDescent="0.3">
      <c r="AB76" s="4"/>
    </row>
    <row r="77" spans="28:28" ht="14.25" customHeight="1" x14ac:dyDescent="0.3">
      <c r="AB77" s="4"/>
    </row>
    <row r="78" spans="28:28" ht="14.25" customHeight="1" x14ac:dyDescent="0.3">
      <c r="AB78" s="4"/>
    </row>
    <row r="79" spans="28:28" ht="14.25" customHeight="1" x14ac:dyDescent="0.3">
      <c r="AB79" s="4"/>
    </row>
    <row r="80" spans="28:28" ht="14.25" customHeight="1" x14ac:dyDescent="0.3">
      <c r="AB80" s="4"/>
    </row>
    <row r="81" spans="28:28" ht="14.25" customHeight="1" x14ac:dyDescent="0.3">
      <c r="AB81" s="4"/>
    </row>
    <row r="82" spans="28:28" ht="14.25" customHeight="1" x14ac:dyDescent="0.3">
      <c r="AB82" s="4"/>
    </row>
    <row r="83" spans="28:28" ht="14.25" customHeight="1" x14ac:dyDescent="0.3">
      <c r="AB83" s="4"/>
    </row>
    <row r="84" spans="28:28" ht="14.25" customHeight="1" x14ac:dyDescent="0.3">
      <c r="AB84" s="4"/>
    </row>
    <row r="85" spans="28:28" ht="14.25" customHeight="1" x14ac:dyDescent="0.3">
      <c r="AB85" s="4"/>
    </row>
    <row r="86" spans="28:28" ht="14.25" customHeight="1" x14ac:dyDescent="0.3">
      <c r="AB86" s="4"/>
    </row>
    <row r="87" spans="28:28" ht="14.25" customHeight="1" x14ac:dyDescent="0.3">
      <c r="AB87" s="4"/>
    </row>
    <row r="88" spans="28:28" ht="14.25" customHeight="1" x14ac:dyDescent="0.3">
      <c r="AB88" s="4"/>
    </row>
    <row r="89" spans="28:28" ht="14.25" customHeight="1" x14ac:dyDescent="0.3">
      <c r="AB89" s="4"/>
    </row>
    <row r="90" spans="28:28" ht="14.25" customHeight="1" x14ac:dyDescent="0.3">
      <c r="AB90" s="4"/>
    </row>
    <row r="91" spans="28:28" ht="14.25" customHeight="1" x14ac:dyDescent="0.3">
      <c r="AB91" s="4"/>
    </row>
    <row r="92" spans="28:28" ht="14.25" customHeight="1" x14ac:dyDescent="0.3">
      <c r="AB92" s="4"/>
    </row>
    <row r="93" spans="28:28" ht="14.25" customHeight="1" x14ac:dyDescent="0.3">
      <c r="AB93" s="4"/>
    </row>
    <row r="94" spans="28:28" ht="14.25" customHeight="1" x14ac:dyDescent="0.3">
      <c r="AB94" s="4"/>
    </row>
    <row r="95" spans="28:28" ht="14.25" customHeight="1" x14ac:dyDescent="0.3">
      <c r="AB95" s="4"/>
    </row>
    <row r="96" spans="28:28" ht="14.25" customHeight="1" x14ac:dyDescent="0.3">
      <c r="AB96" s="4"/>
    </row>
    <row r="97" spans="28:28" ht="14.25" customHeight="1" x14ac:dyDescent="0.3">
      <c r="AB97" s="4"/>
    </row>
    <row r="98" spans="28:28" ht="14.25" customHeight="1" x14ac:dyDescent="0.3">
      <c r="AB98" s="4"/>
    </row>
    <row r="99" spans="28:28" ht="14.25" customHeight="1" x14ac:dyDescent="0.3">
      <c r="AB99" s="4"/>
    </row>
    <row r="100" spans="28:28" ht="14.25" customHeight="1" x14ac:dyDescent="0.3">
      <c r="AB100" s="4"/>
    </row>
    <row r="101" spans="28:28" ht="14.25" customHeight="1" x14ac:dyDescent="0.3">
      <c r="AB101" s="4"/>
    </row>
    <row r="102" spans="28:28" ht="14.25" customHeight="1" x14ac:dyDescent="0.3">
      <c r="AB102" s="4"/>
    </row>
    <row r="103" spans="28:28" ht="14.25" customHeight="1" x14ac:dyDescent="0.3">
      <c r="AB103" s="4"/>
    </row>
    <row r="104" spans="28:28" ht="14.25" customHeight="1" x14ac:dyDescent="0.3">
      <c r="AB104" s="4"/>
    </row>
    <row r="105" spans="28:28" ht="14.25" customHeight="1" x14ac:dyDescent="0.3">
      <c r="AB105" s="4"/>
    </row>
    <row r="106" spans="28:28" ht="14.25" customHeight="1" x14ac:dyDescent="0.3">
      <c r="AB106" s="4"/>
    </row>
    <row r="107" spans="28:28" ht="14.25" customHeight="1" x14ac:dyDescent="0.3">
      <c r="AB107" s="4"/>
    </row>
    <row r="108" spans="28:28" ht="14.25" customHeight="1" x14ac:dyDescent="0.3">
      <c r="AB108" s="4"/>
    </row>
    <row r="109" spans="28:28" ht="14.25" customHeight="1" x14ac:dyDescent="0.3">
      <c r="AB109" s="4"/>
    </row>
    <row r="110" spans="28:28" ht="14.25" customHeight="1" x14ac:dyDescent="0.3">
      <c r="AB110" s="4"/>
    </row>
    <row r="111" spans="28:28" ht="14.25" customHeight="1" x14ac:dyDescent="0.3">
      <c r="AB111" s="4"/>
    </row>
    <row r="112" spans="28:28" ht="14.25" customHeight="1" x14ac:dyDescent="0.3">
      <c r="AB112" s="4"/>
    </row>
    <row r="113" spans="28:28" ht="14.25" customHeight="1" x14ac:dyDescent="0.3">
      <c r="AB113" s="4"/>
    </row>
    <row r="114" spans="28:28" ht="14.25" customHeight="1" x14ac:dyDescent="0.3">
      <c r="AB114" s="4"/>
    </row>
    <row r="115" spans="28:28" ht="14.25" customHeight="1" x14ac:dyDescent="0.3">
      <c r="AB115" s="4"/>
    </row>
    <row r="116" spans="28:28" ht="14.25" customHeight="1" x14ac:dyDescent="0.3">
      <c r="AB116" s="4"/>
    </row>
    <row r="117" spans="28:28" ht="14.25" customHeight="1" x14ac:dyDescent="0.3">
      <c r="AB117" s="4"/>
    </row>
    <row r="118" spans="28:28" ht="14.25" customHeight="1" x14ac:dyDescent="0.3">
      <c r="AB118" s="4"/>
    </row>
    <row r="119" spans="28:28" ht="14.25" customHeight="1" x14ac:dyDescent="0.3">
      <c r="AB119" s="4"/>
    </row>
    <row r="120" spans="28:28" ht="14.25" customHeight="1" x14ac:dyDescent="0.3">
      <c r="AB120" s="4"/>
    </row>
    <row r="121" spans="28:28" ht="14.25" customHeight="1" x14ac:dyDescent="0.3">
      <c r="AB121" s="4"/>
    </row>
    <row r="122" spans="28:28" ht="14.25" customHeight="1" x14ac:dyDescent="0.3">
      <c r="AB122" s="4"/>
    </row>
    <row r="123" spans="28:28" ht="14.25" customHeight="1" x14ac:dyDescent="0.3">
      <c r="AB123" s="4"/>
    </row>
    <row r="124" spans="28:28" ht="14.25" customHeight="1" x14ac:dyDescent="0.3">
      <c r="AB124" s="4"/>
    </row>
    <row r="125" spans="28:28" ht="14.25" customHeight="1" x14ac:dyDescent="0.3">
      <c r="AB125" s="4"/>
    </row>
    <row r="126" spans="28:28" ht="14.25" customHeight="1" x14ac:dyDescent="0.3">
      <c r="AB126" s="4"/>
    </row>
    <row r="127" spans="28:28" ht="14.25" customHeight="1" x14ac:dyDescent="0.3">
      <c r="AB127" s="4"/>
    </row>
    <row r="128" spans="28:28" ht="14.25" customHeight="1" x14ac:dyDescent="0.3">
      <c r="AB128" s="4"/>
    </row>
    <row r="129" spans="28:28" ht="14.25" customHeight="1" x14ac:dyDescent="0.3">
      <c r="AB129" s="4"/>
    </row>
    <row r="130" spans="28:28" ht="14.25" customHeight="1" x14ac:dyDescent="0.3">
      <c r="AB130" s="4"/>
    </row>
    <row r="131" spans="28:28" ht="14.25" customHeight="1" x14ac:dyDescent="0.3">
      <c r="AB131" s="4"/>
    </row>
    <row r="132" spans="28:28" ht="14.25" customHeight="1" x14ac:dyDescent="0.3">
      <c r="AB132" s="4"/>
    </row>
    <row r="133" spans="28:28" ht="14.25" customHeight="1" x14ac:dyDescent="0.3">
      <c r="AB133" s="4"/>
    </row>
    <row r="134" spans="28:28" ht="14.25" customHeight="1" x14ac:dyDescent="0.3">
      <c r="AB134" s="4"/>
    </row>
    <row r="135" spans="28:28" ht="14.25" customHeight="1" x14ac:dyDescent="0.3">
      <c r="AB135" s="4"/>
    </row>
    <row r="136" spans="28:28" ht="14.25" customHeight="1" x14ac:dyDescent="0.3">
      <c r="AB136" s="4"/>
    </row>
    <row r="137" spans="28:28" ht="14.25" customHeight="1" x14ac:dyDescent="0.3">
      <c r="AB137" s="4"/>
    </row>
    <row r="138" spans="28:28" ht="14.25" customHeight="1" x14ac:dyDescent="0.3">
      <c r="AB138" s="4"/>
    </row>
    <row r="139" spans="28:28" ht="14.25" customHeight="1" x14ac:dyDescent="0.3">
      <c r="AB139" s="4"/>
    </row>
    <row r="140" spans="28:28" ht="14.25" customHeight="1" x14ac:dyDescent="0.3">
      <c r="AB140" s="4"/>
    </row>
    <row r="141" spans="28:28" ht="14.25" customHeight="1" x14ac:dyDescent="0.3">
      <c r="AB141" s="4"/>
    </row>
    <row r="142" spans="28:28" ht="14.25" customHeight="1" x14ac:dyDescent="0.3">
      <c r="AB142" s="4"/>
    </row>
    <row r="143" spans="28:28" ht="14.25" customHeight="1" x14ac:dyDescent="0.3">
      <c r="AB143" s="4"/>
    </row>
    <row r="144" spans="28:28" ht="14.25" customHeight="1" x14ac:dyDescent="0.3">
      <c r="AB144" s="4"/>
    </row>
    <row r="145" spans="28:28" ht="14.25" customHeight="1" x14ac:dyDescent="0.3">
      <c r="AB145" s="4"/>
    </row>
    <row r="146" spans="28:28" ht="14.25" customHeight="1" x14ac:dyDescent="0.3">
      <c r="AB146" s="4"/>
    </row>
    <row r="147" spans="28:28" ht="14.25" customHeight="1" x14ac:dyDescent="0.3">
      <c r="AB147" s="4"/>
    </row>
    <row r="148" spans="28:28" ht="14.25" customHeight="1" x14ac:dyDescent="0.3">
      <c r="AB148" s="4"/>
    </row>
    <row r="149" spans="28:28" ht="14.25" customHeight="1" x14ac:dyDescent="0.3">
      <c r="AB149" s="4"/>
    </row>
    <row r="150" spans="28:28" ht="14.25" customHeight="1" x14ac:dyDescent="0.3">
      <c r="AB150" s="4"/>
    </row>
    <row r="151" spans="28:28" ht="14.25" customHeight="1" x14ac:dyDescent="0.3">
      <c r="AB151" s="4"/>
    </row>
    <row r="152" spans="28:28" ht="14.25" customHeight="1" x14ac:dyDescent="0.3">
      <c r="AB152" s="4"/>
    </row>
    <row r="153" spans="28:28" ht="14.25" customHeight="1" x14ac:dyDescent="0.3">
      <c r="AB153" s="4"/>
    </row>
    <row r="154" spans="28:28" ht="14.25" customHeight="1" x14ac:dyDescent="0.3">
      <c r="AB154" s="4"/>
    </row>
    <row r="155" spans="28:28" ht="14.25" customHeight="1" x14ac:dyDescent="0.3">
      <c r="AB155" s="4"/>
    </row>
    <row r="156" spans="28:28" ht="14.25" customHeight="1" x14ac:dyDescent="0.3">
      <c r="AB156" s="4"/>
    </row>
    <row r="157" spans="28:28" ht="14.25" customHeight="1" x14ac:dyDescent="0.3">
      <c r="AB157" s="4"/>
    </row>
    <row r="158" spans="28:28" ht="14.25" customHeight="1" x14ac:dyDescent="0.3">
      <c r="AB158" s="4"/>
    </row>
    <row r="159" spans="28:28" ht="14.25" customHeight="1" x14ac:dyDescent="0.3">
      <c r="AB159" s="4"/>
    </row>
    <row r="160" spans="28:28" ht="14.25" customHeight="1" x14ac:dyDescent="0.3">
      <c r="AB160" s="4"/>
    </row>
    <row r="161" spans="28:28" ht="14.25" customHeight="1" x14ac:dyDescent="0.3">
      <c r="AB161" s="4"/>
    </row>
    <row r="162" spans="28:28" ht="14.25" customHeight="1" x14ac:dyDescent="0.3">
      <c r="AB162" s="4"/>
    </row>
    <row r="163" spans="28:28" ht="14.25" customHeight="1" x14ac:dyDescent="0.3">
      <c r="AB163" s="4"/>
    </row>
    <row r="164" spans="28:28" ht="14.25" customHeight="1" x14ac:dyDescent="0.3">
      <c r="AB164" s="4"/>
    </row>
    <row r="165" spans="28:28" ht="14.25" customHeight="1" x14ac:dyDescent="0.3">
      <c r="AB165" s="4"/>
    </row>
    <row r="166" spans="28:28" ht="14.25" customHeight="1" x14ac:dyDescent="0.3">
      <c r="AB166" s="4"/>
    </row>
    <row r="167" spans="28:28" ht="14.25" customHeight="1" x14ac:dyDescent="0.3">
      <c r="AB167" s="4"/>
    </row>
    <row r="168" spans="28:28" ht="14.25" customHeight="1" x14ac:dyDescent="0.3">
      <c r="AB168" s="4"/>
    </row>
    <row r="169" spans="28:28" ht="14.25" customHeight="1" x14ac:dyDescent="0.3">
      <c r="AB169" s="4"/>
    </row>
    <row r="170" spans="28:28" ht="14.25" customHeight="1" x14ac:dyDescent="0.3">
      <c r="AB170" s="4"/>
    </row>
    <row r="171" spans="28:28" ht="14.25" customHeight="1" x14ac:dyDescent="0.3">
      <c r="AB171" s="4"/>
    </row>
    <row r="172" spans="28:28" ht="14.25" customHeight="1" x14ac:dyDescent="0.3">
      <c r="AB172" s="4"/>
    </row>
    <row r="173" spans="28:28" ht="14.25" customHeight="1" x14ac:dyDescent="0.3">
      <c r="AB173" s="4"/>
    </row>
    <row r="174" spans="28:28" ht="14.25" customHeight="1" x14ac:dyDescent="0.3">
      <c r="AB174" s="4"/>
    </row>
    <row r="175" spans="28:28" ht="14.25" customHeight="1" x14ac:dyDescent="0.3">
      <c r="AB175" s="4"/>
    </row>
    <row r="176" spans="28:28" ht="14.25" customHeight="1" x14ac:dyDescent="0.3">
      <c r="AB176" s="4"/>
    </row>
    <row r="177" spans="28:28" ht="14.25" customHeight="1" x14ac:dyDescent="0.3">
      <c r="AB177" s="4"/>
    </row>
    <row r="178" spans="28:28" ht="14.25" customHeight="1" x14ac:dyDescent="0.3">
      <c r="AB178" s="4"/>
    </row>
    <row r="179" spans="28:28" ht="14.25" customHeight="1" x14ac:dyDescent="0.3">
      <c r="AB179" s="4"/>
    </row>
    <row r="180" spans="28:28" ht="14.25" customHeight="1" x14ac:dyDescent="0.3">
      <c r="AB180" s="4"/>
    </row>
    <row r="181" spans="28:28" ht="14.25" customHeight="1" x14ac:dyDescent="0.3">
      <c r="AB181" s="4"/>
    </row>
    <row r="182" spans="28:28" ht="14.25" customHeight="1" x14ac:dyDescent="0.3">
      <c r="AB182" s="4"/>
    </row>
    <row r="183" spans="28:28" ht="14.25" customHeight="1" x14ac:dyDescent="0.3">
      <c r="AB183" s="4"/>
    </row>
    <row r="184" spans="28:28" ht="14.25" customHeight="1" x14ac:dyDescent="0.3">
      <c r="AB184" s="4"/>
    </row>
    <row r="185" spans="28:28" ht="14.25" customHeight="1" x14ac:dyDescent="0.3">
      <c r="AB185" s="4"/>
    </row>
    <row r="186" spans="28:28" ht="14.25" customHeight="1" x14ac:dyDescent="0.3">
      <c r="AB186" s="4"/>
    </row>
    <row r="187" spans="28:28" ht="14.25" customHeight="1" x14ac:dyDescent="0.3">
      <c r="AB187" s="4"/>
    </row>
    <row r="188" spans="28:28" ht="14.25" customHeight="1" x14ac:dyDescent="0.3">
      <c r="AB188" s="4"/>
    </row>
    <row r="189" spans="28:28" ht="14.25" customHeight="1" x14ac:dyDescent="0.3">
      <c r="AB189" s="4"/>
    </row>
    <row r="190" spans="28:28" ht="14.25" customHeight="1" x14ac:dyDescent="0.3">
      <c r="AB190" s="4"/>
    </row>
    <row r="191" spans="28:28" ht="14.25" customHeight="1" x14ac:dyDescent="0.3">
      <c r="AB191" s="4"/>
    </row>
    <row r="192" spans="28:28" ht="14.25" customHeight="1" x14ac:dyDescent="0.3">
      <c r="AB192" s="4"/>
    </row>
    <row r="193" spans="28:28" ht="14.25" customHeight="1" x14ac:dyDescent="0.3">
      <c r="AB193" s="4"/>
    </row>
    <row r="194" spans="28:28" ht="14.25" customHeight="1" x14ac:dyDescent="0.3">
      <c r="AB194" s="4"/>
    </row>
    <row r="195" spans="28:28" ht="14.25" customHeight="1" x14ac:dyDescent="0.3">
      <c r="AB195" s="4"/>
    </row>
    <row r="196" spans="28:28" ht="14.25" customHeight="1" x14ac:dyDescent="0.3">
      <c r="AB196" s="4"/>
    </row>
    <row r="197" spans="28:28" ht="14.25" customHeight="1" x14ac:dyDescent="0.3">
      <c r="AB197" s="4"/>
    </row>
    <row r="198" spans="28:28" ht="14.25" customHeight="1" x14ac:dyDescent="0.3">
      <c r="AB198" s="4"/>
    </row>
    <row r="199" spans="28:28" ht="14.25" customHeight="1" x14ac:dyDescent="0.3">
      <c r="AB199" s="4"/>
    </row>
    <row r="200" spans="28:28" ht="14.25" customHeight="1" x14ac:dyDescent="0.3">
      <c r="AB200" s="4"/>
    </row>
    <row r="201" spans="28:28" ht="14.25" customHeight="1" x14ac:dyDescent="0.3">
      <c r="AB201" s="4"/>
    </row>
    <row r="202" spans="28:28" ht="14.25" customHeight="1" x14ac:dyDescent="0.3">
      <c r="AB202" s="4"/>
    </row>
    <row r="203" spans="28:28" ht="14.25" customHeight="1" x14ac:dyDescent="0.3">
      <c r="AB203" s="4"/>
    </row>
    <row r="204" spans="28:28" ht="14.25" customHeight="1" x14ac:dyDescent="0.3">
      <c r="AB204" s="4"/>
    </row>
    <row r="205" spans="28:28" ht="14.25" customHeight="1" x14ac:dyDescent="0.3">
      <c r="AB205" s="4"/>
    </row>
    <row r="206" spans="28:28" ht="14.25" customHeight="1" x14ac:dyDescent="0.3">
      <c r="AB206" s="4"/>
    </row>
    <row r="207" spans="28:28" ht="14.25" customHeight="1" x14ac:dyDescent="0.3">
      <c r="AB207" s="4"/>
    </row>
    <row r="208" spans="28:28" ht="14.25" customHeight="1" x14ac:dyDescent="0.3">
      <c r="AB208" s="4"/>
    </row>
    <row r="209" spans="28:28" ht="14.25" customHeight="1" x14ac:dyDescent="0.3">
      <c r="AB209" s="4"/>
    </row>
    <row r="210" spans="28:28" ht="14.25" customHeight="1" x14ac:dyDescent="0.3">
      <c r="AB210" s="4"/>
    </row>
    <row r="211" spans="28:28" ht="14.25" customHeight="1" x14ac:dyDescent="0.3">
      <c r="AB211" s="4"/>
    </row>
    <row r="212" spans="28:28" ht="14.25" customHeight="1" x14ac:dyDescent="0.3">
      <c r="AB212" s="4"/>
    </row>
    <row r="213" spans="28:28" ht="14.25" customHeight="1" x14ac:dyDescent="0.3">
      <c r="AB213" s="4"/>
    </row>
    <row r="214" spans="28:28" ht="14.25" customHeight="1" x14ac:dyDescent="0.3">
      <c r="AB214" s="4"/>
    </row>
    <row r="215" spans="28:28" ht="14.25" customHeight="1" x14ac:dyDescent="0.3">
      <c r="AB215" s="4"/>
    </row>
    <row r="216" spans="28:28" ht="14.25" customHeight="1" x14ac:dyDescent="0.3">
      <c r="AB216" s="4"/>
    </row>
    <row r="217" spans="28:28" ht="14.25" customHeight="1" x14ac:dyDescent="0.3">
      <c r="AB217" s="4"/>
    </row>
    <row r="218" spans="28:28" ht="14.25" customHeight="1" x14ac:dyDescent="0.3">
      <c r="AB218" s="4"/>
    </row>
    <row r="219" spans="28:28" ht="14.25" customHeight="1" x14ac:dyDescent="0.3">
      <c r="AB219" s="4"/>
    </row>
    <row r="220" spans="28:28" ht="14.25" customHeight="1" x14ac:dyDescent="0.3">
      <c r="AB220" s="4"/>
    </row>
    <row r="221" spans="28:28" ht="14.25" customHeight="1" x14ac:dyDescent="0.3">
      <c r="AB221" s="4"/>
    </row>
    <row r="222" spans="28:28" ht="14.25" customHeight="1" x14ac:dyDescent="0.3">
      <c r="AB222" s="4"/>
    </row>
    <row r="223" spans="28:28" ht="14.25" customHeight="1" x14ac:dyDescent="0.3">
      <c r="AB223" s="4"/>
    </row>
    <row r="224" spans="28:28" ht="14.25" customHeight="1" x14ac:dyDescent="0.3">
      <c r="AB224" s="4"/>
    </row>
    <row r="225" spans="28:28" ht="14.25" customHeight="1" x14ac:dyDescent="0.3">
      <c r="AB225" s="4"/>
    </row>
    <row r="226" spans="28:28" ht="14.25" customHeight="1" x14ac:dyDescent="0.3">
      <c r="AB226" s="4"/>
    </row>
    <row r="227" spans="28:28" ht="14.25" customHeight="1" x14ac:dyDescent="0.3">
      <c r="AB227" s="4"/>
    </row>
    <row r="228" spans="28:28" ht="14.25" customHeight="1" x14ac:dyDescent="0.3">
      <c r="AB228" s="4"/>
    </row>
    <row r="229" spans="28:28" ht="14.25" customHeight="1" x14ac:dyDescent="0.3">
      <c r="AB229" s="4"/>
    </row>
    <row r="230" spans="28:28" ht="14.25" customHeight="1" x14ac:dyDescent="0.3">
      <c r="AB230" s="4"/>
    </row>
    <row r="231" spans="28:28" ht="14.25" customHeight="1" x14ac:dyDescent="0.3">
      <c r="AB231" s="4"/>
    </row>
    <row r="232" spans="28:28" ht="14.25" customHeight="1" x14ac:dyDescent="0.3">
      <c r="AB232" s="4"/>
    </row>
    <row r="233" spans="28:28" ht="14.25" customHeight="1" x14ac:dyDescent="0.3">
      <c r="AB233" s="4"/>
    </row>
    <row r="234" spans="28:28" ht="14.25" customHeight="1" x14ac:dyDescent="0.3">
      <c r="AB234" s="4"/>
    </row>
    <row r="235" spans="28:28" ht="14.25" customHeight="1" x14ac:dyDescent="0.3">
      <c r="AB235" s="4"/>
    </row>
    <row r="236" spans="28:28" ht="14.25" customHeight="1" x14ac:dyDescent="0.3">
      <c r="AB236" s="4"/>
    </row>
    <row r="237" spans="28:28" ht="14.25" customHeight="1" x14ac:dyDescent="0.3">
      <c r="AB237" s="4"/>
    </row>
    <row r="238" spans="28:28" ht="14.25" customHeight="1" x14ac:dyDescent="0.3">
      <c r="AB238" s="4"/>
    </row>
    <row r="239" spans="28:28" ht="14.25" customHeight="1" x14ac:dyDescent="0.3">
      <c r="AB239" s="4"/>
    </row>
    <row r="240" spans="28:28" ht="14.25" customHeight="1" x14ac:dyDescent="0.3">
      <c r="AB240" s="4"/>
    </row>
    <row r="241" spans="28:28" ht="14.25" customHeight="1" x14ac:dyDescent="0.3">
      <c r="AB241" s="4"/>
    </row>
    <row r="242" spans="28:28" ht="14.25" customHeight="1" x14ac:dyDescent="0.3">
      <c r="AB242" s="4"/>
    </row>
    <row r="243" spans="28:28" ht="14.25" customHeight="1" x14ac:dyDescent="0.3">
      <c r="AB243" s="4"/>
    </row>
    <row r="244" spans="28:28" ht="14.25" customHeight="1" x14ac:dyDescent="0.3">
      <c r="AB244" s="4"/>
    </row>
    <row r="245" spans="28:28" ht="14.25" customHeight="1" x14ac:dyDescent="0.3">
      <c r="AB245" s="4"/>
    </row>
    <row r="246" spans="28:28" ht="14.25" customHeight="1" x14ac:dyDescent="0.3">
      <c r="AB246" s="4"/>
    </row>
    <row r="247" spans="28:28" ht="14.25" customHeight="1" x14ac:dyDescent="0.3">
      <c r="AB247" s="4"/>
    </row>
    <row r="248" spans="28:28" ht="14.25" customHeight="1" x14ac:dyDescent="0.3">
      <c r="AB248" s="4"/>
    </row>
    <row r="249" spans="28:28" ht="14.25" customHeight="1" x14ac:dyDescent="0.3">
      <c r="AB249" s="4"/>
    </row>
    <row r="250" spans="28:28" ht="14.25" customHeight="1" x14ac:dyDescent="0.3">
      <c r="AB250" s="4"/>
    </row>
    <row r="251" spans="28:28" ht="14.25" customHeight="1" x14ac:dyDescent="0.3">
      <c r="AB251" s="4"/>
    </row>
    <row r="252" spans="28:28" ht="14.25" customHeight="1" x14ac:dyDescent="0.3">
      <c r="AB252" s="4"/>
    </row>
    <row r="253" spans="28:28" ht="14.25" customHeight="1" x14ac:dyDescent="0.3">
      <c r="AB253" s="4"/>
    </row>
    <row r="254" spans="28:28" ht="14.25" customHeight="1" x14ac:dyDescent="0.3">
      <c r="AB254" s="4"/>
    </row>
    <row r="255" spans="28:28" ht="14.25" customHeight="1" x14ac:dyDescent="0.3">
      <c r="AB255" s="4"/>
    </row>
    <row r="256" spans="28:28" ht="14.25" customHeight="1" x14ac:dyDescent="0.3">
      <c r="AB256" s="4"/>
    </row>
    <row r="257" spans="28:28" ht="14.25" customHeight="1" x14ac:dyDescent="0.3">
      <c r="AB257" s="4"/>
    </row>
    <row r="258" spans="28:28" ht="14.25" customHeight="1" x14ac:dyDescent="0.3">
      <c r="AB258" s="4"/>
    </row>
    <row r="259" spans="28:28" ht="14.25" customHeight="1" x14ac:dyDescent="0.3">
      <c r="AB259" s="4"/>
    </row>
    <row r="260" spans="28:28" ht="14.25" customHeight="1" x14ac:dyDescent="0.3">
      <c r="AB260" s="4"/>
    </row>
    <row r="261" spans="28:28" ht="14.25" customHeight="1" x14ac:dyDescent="0.3">
      <c r="AB261" s="4"/>
    </row>
    <row r="262" spans="28:28" ht="14.25" customHeight="1" x14ac:dyDescent="0.3">
      <c r="AB262" s="4"/>
    </row>
    <row r="263" spans="28:28" ht="14.25" customHeight="1" x14ac:dyDescent="0.3">
      <c r="AB263" s="4"/>
    </row>
    <row r="264" spans="28:28" ht="14.25" customHeight="1" x14ac:dyDescent="0.3">
      <c r="AB264" s="4"/>
    </row>
    <row r="265" spans="28:28" ht="14.25" customHeight="1" x14ac:dyDescent="0.3">
      <c r="AB265" s="4"/>
    </row>
    <row r="266" spans="28:28" ht="14.25" customHeight="1" x14ac:dyDescent="0.3">
      <c r="AB266" s="4"/>
    </row>
    <row r="267" spans="28:28" ht="14.25" customHeight="1" x14ac:dyDescent="0.3">
      <c r="AB267" s="4"/>
    </row>
    <row r="268" spans="28:28" ht="14.25" customHeight="1" x14ac:dyDescent="0.3">
      <c r="AB268" s="4"/>
    </row>
    <row r="269" spans="28:28" ht="14.25" customHeight="1" x14ac:dyDescent="0.3">
      <c r="AB269" s="4"/>
    </row>
    <row r="270" spans="28:28" ht="14.25" customHeight="1" x14ac:dyDescent="0.3">
      <c r="AB270" s="4"/>
    </row>
    <row r="271" spans="28:28" ht="14.25" customHeight="1" x14ac:dyDescent="0.3">
      <c r="AB271" s="4"/>
    </row>
    <row r="272" spans="28:28" ht="14.25" customHeight="1" x14ac:dyDescent="0.3">
      <c r="AB272" s="4"/>
    </row>
    <row r="273" spans="28:28" ht="14.25" customHeight="1" x14ac:dyDescent="0.3">
      <c r="AB273" s="4"/>
    </row>
    <row r="274" spans="28:28" ht="14.25" customHeight="1" x14ac:dyDescent="0.3">
      <c r="AB274" s="4"/>
    </row>
    <row r="275" spans="28:28" ht="14.25" customHeight="1" x14ac:dyDescent="0.3">
      <c r="AB275" s="4"/>
    </row>
    <row r="276" spans="28:28" ht="14.25" customHeight="1" x14ac:dyDescent="0.3">
      <c r="AB276" s="4"/>
    </row>
    <row r="277" spans="28:28" ht="14.25" customHeight="1" x14ac:dyDescent="0.3">
      <c r="AB277" s="4"/>
    </row>
    <row r="278" spans="28:28" ht="14.25" customHeight="1" x14ac:dyDescent="0.3">
      <c r="AB278" s="4"/>
    </row>
    <row r="279" spans="28:28" ht="14.25" customHeight="1" x14ac:dyDescent="0.3">
      <c r="AB279" s="4"/>
    </row>
    <row r="280" spans="28:28" ht="14.25" customHeight="1" x14ac:dyDescent="0.3">
      <c r="AB280" s="4"/>
    </row>
    <row r="281" spans="28:28" ht="14.25" customHeight="1" x14ac:dyDescent="0.3">
      <c r="AB281" s="4"/>
    </row>
    <row r="282" spans="28:28" ht="14.25" customHeight="1" x14ac:dyDescent="0.3">
      <c r="AB282" s="4"/>
    </row>
    <row r="283" spans="28:28" ht="14.25" customHeight="1" x14ac:dyDescent="0.3">
      <c r="AB283" s="4"/>
    </row>
    <row r="284" spans="28:28" ht="14.25" customHeight="1" x14ac:dyDescent="0.3">
      <c r="AB284" s="4"/>
    </row>
    <row r="285" spans="28:28" ht="14.25" customHeight="1" x14ac:dyDescent="0.3">
      <c r="AB285" s="4"/>
    </row>
    <row r="286" spans="28:28" ht="14.25" customHeight="1" x14ac:dyDescent="0.3">
      <c r="AB286" s="4"/>
    </row>
    <row r="287" spans="28:28" ht="14.25" customHeight="1" x14ac:dyDescent="0.3">
      <c r="AB287" s="4"/>
    </row>
    <row r="288" spans="28:28" ht="14.25" customHeight="1" x14ac:dyDescent="0.3">
      <c r="AB288" s="4"/>
    </row>
    <row r="289" spans="28:28" ht="14.25" customHeight="1" x14ac:dyDescent="0.3">
      <c r="AB289" s="4"/>
    </row>
    <row r="290" spans="28:28" ht="14.25" customHeight="1" x14ac:dyDescent="0.3">
      <c r="AB290" s="4"/>
    </row>
    <row r="291" spans="28:28" ht="14.25" customHeight="1" x14ac:dyDescent="0.3">
      <c r="AB291" s="4"/>
    </row>
    <row r="292" spans="28:28" ht="14.25" customHeight="1" x14ac:dyDescent="0.3">
      <c r="AB292" s="4"/>
    </row>
    <row r="293" spans="28:28" ht="14.25" customHeight="1" x14ac:dyDescent="0.3">
      <c r="AB293" s="4"/>
    </row>
    <row r="294" spans="28:28" ht="14.25" customHeight="1" x14ac:dyDescent="0.3">
      <c r="AB294" s="4"/>
    </row>
    <row r="295" spans="28:28" ht="14.25" customHeight="1" x14ac:dyDescent="0.3">
      <c r="AB295" s="4"/>
    </row>
    <row r="296" spans="28:28" ht="14.25" customHeight="1" x14ac:dyDescent="0.3">
      <c r="AB296" s="4"/>
    </row>
    <row r="297" spans="28:28" ht="14.25" customHeight="1" x14ac:dyDescent="0.3">
      <c r="AB297" s="4"/>
    </row>
    <row r="298" spans="28:28" ht="14.25" customHeight="1" x14ac:dyDescent="0.3">
      <c r="AB298" s="4"/>
    </row>
    <row r="299" spans="28:28" ht="14.25" customHeight="1" x14ac:dyDescent="0.3">
      <c r="AB299" s="4"/>
    </row>
    <row r="300" spans="28:28" ht="14.25" customHeight="1" x14ac:dyDescent="0.3">
      <c r="AB300" s="4"/>
    </row>
    <row r="301" spans="28:28" ht="14.25" customHeight="1" x14ac:dyDescent="0.3">
      <c r="AB301" s="4"/>
    </row>
    <row r="302" spans="28:28" ht="14.25" customHeight="1" x14ac:dyDescent="0.3">
      <c r="AB302" s="4"/>
    </row>
    <row r="303" spans="28:28" ht="14.25" customHeight="1" x14ac:dyDescent="0.3">
      <c r="AB303" s="4"/>
    </row>
    <row r="304" spans="28:28" ht="14.25" customHeight="1" x14ac:dyDescent="0.3">
      <c r="AB304" s="4"/>
    </row>
    <row r="305" spans="28:28" ht="14.25" customHeight="1" x14ac:dyDescent="0.3">
      <c r="AB305" s="4"/>
    </row>
    <row r="306" spans="28:28" ht="14.25" customHeight="1" x14ac:dyDescent="0.3">
      <c r="AB306" s="4"/>
    </row>
    <row r="307" spans="28:28" ht="14.25" customHeight="1" x14ac:dyDescent="0.3">
      <c r="AB307" s="4"/>
    </row>
    <row r="308" spans="28:28" ht="14.25" customHeight="1" x14ac:dyDescent="0.3">
      <c r="AB308" s="4"/>
    </row>
    <row r="309" spans="28:28" ht="14.25" customHeight="1" x14ac:dyDescent="0.3">
      <c r="AB309" s="4"/>
    </row>
    <row r="310" spans="28:28" ht="14.25" customHeight="1" x14ac:dyDescent="0.3">
      <c r="AB310" s="4"/>
    </row>
    <row r="311" spans="28:28" ht="14.25" customHeight="1" x14ac:dyDescent="0.3">
      <c r="AB311" s="4"/>
    </row>
    <row r="312" spans="28:28" ht="14.25" customHeight="1" x14ac:dyDescent="0.3">
      <c r="AB312" s="4"/>
    </row>
    <row r="313" spans="28:28" ht="14.25" customHeight="1" x14ac:dyDescent="0.3">
      <c r="AB313" s="4"/>
    </row>
    <row r="314" spans="28:28" ht="14.25" customHeight="1" x14ac:dyDescent="0.3">
      <c r="AB314" s="4"/>
    </row>
    <row r="315" spans="28:28" ht="14.25" customHeight="1" x14ac:dyDescent="0.3">
      <c r="AB315" s="4"/>
    </row>
    <row r="316" spans="28:28" ht="14.25" customHeight="1" x14ac:dyDescent="0.3">
      <c r="AB316" s="4"/>
    </row>
    <row r="317" spans="28:28" ht="14.25" customHeight="1" x14ac:dyDescent="0.3">
      <c r="AB317" s="4"/>
    </row>
    <row r="318" spans="28:28" ht="14.25" customHeight="1" x14ac:dyDescent="0.3">
      <c r="AB318" s="4"/>
    </row>
    <row r="319" spans="28:28" ht="14.25" customHeight="1" x14ac:dyDescent="0.3">
      <c r="AB319" s="4"/>
    </row>
    <row r="320" spans="28:28" ht="14.25" customHeight="1" x14ac:dyDescent="0.3">
      <c r="AB320" s="4"/>
    </row>
    <row r="321" spans="28:28" ht="14.25" customHeight="1" x14ac:dyDescent="0.3">
      <c r="AB321" s="4"/>
    </row>
    <row r="322" spans="28:28" ht="14.25" customHeight="1" x14ac:dyDescent="0.3">
      <c r="AB322" s="4"/>
    </row>
    <row r="323" spans="28:28" ht="14.25" customHeight="1" x14ac:dyDescent="0.3">
      <c r="AB323" s="4"/>
    </row>
    <row r="324" spans="28:28" ht="14.25" customHeight="1" x14ac:dyDescent="0.3">
      <c r="AB324" s="4"/>
    </row>
    <row r="325" spans="28:28" ht="14.25" customHeight="1" x14ac:dyDescent="0.3">
      <c r="AB325" s="4"/>
    </row>
    <row r="326" spans="28:28" ht="14.25" customHeight="1" x14ac:dyDescent="0.3">
      <c r="AB326" s="4"/>
    </row>
    <row r="327" spans="28:28" ht="14.25" customHeight="1" x14ac:dyDescent="0.3">
      <c r="AB327" s="4"/>
    </row>
    <row r="328" spans="28:28" ht="14.25" customHeight="1" x14ac:dyDescent="0.3">
      <c r="AB328" s="4"/>
    </row>
    <row r="329" spans="28:28" ht="14.25" customHeight="1" x14ac:dyDescent="0.3">
      <c r="AB329" s="4"/>
    </row>
    <row r="330" spans="28:28" ht="14.25" customHeight="1" x14ac:dyDescent="0.3">
      <c r="AB330" s="4"/>
    </row>
    <row r="331" spans="28:28" ht="14.25" customHeight="1" x14ac:dyDescent="0.3">
      <c r="AB331" s="4"/>
    </row>
    <row r="332" spans="28:28" ht="14.25" customHeight="1" x14ac:dyDescent="0.3">
      <c r="AB332" s="4"/>
    </row>
    <row r="333" spans="28:28" ht="14.25" customHeight="1" x14ac:dyDescent="0.3">
      <c r="AB333" s="4"/>
    </row>
    <row r="334" spans="28:28" ht="14.25" customHeight="1" x14ac:dyDescent="0.3">
      <c r="AB334" s="4"/>
    </row>
    <row r="335" spans="28:28" ht="14.25" customHeight="1" x14ac:dyDescent="0.3">
      <c r="AB335" s="4"/>
    </row>
    <row r="336" spans="28:28" ht="14.25" customHeight="1" x14ac:dyDescent="0.3">
      <c r="AB336" s="4"/>
    </row>
    <row r="337" spans="28:28" ht="14.25" customHeight="1" x14ac:dyDescent="0.3">
      <c r="AB337" s="4"/>
    </row>
    <row r="338" spans="28:28" ht="14.25" customHeight="1" x14ac:dyDescent="0.3">
      <c r="AB338" s="4"/>
    </row>
    <row r="339" spans="28:28" ht="14.25" customHeight="1" x14ac:dyDescent="0.3">
      <c r="AB339" s="4"/>
    </row>
    <row r="340" spans="28:28" ht="14.25" customHeight="1" x14ac:dyDescent="0.3">
      <c r="AB340" s="4"/>
    </row>
    <row r="341" spans="28:28" ht="14.25" customHeight="1" x14ac:dyDescent="0.3">
      <c r="AB341" s="4"/>
    </row>
    <row r="342" spans="28:28" ht="14.25" customHeight="1" x14ac:dyDescent="0.3">
      <c r="AB342" s="4"/>
    </row>
    <row r="343" spans="28:28" ht="14.25" customHeight="1" x14ac:dyDescent="0.3">
      <c r="AB343" s="4"/>
    </row>
    <row r="344" spans="28:28" ht="14.25" customHeight="1" x14ac:dyDescent="0.3">
      <c r="AB344" s="4"/>
    </row>
    <row r="345" spans="28:28" ht="14.25" customHeight="1" x14ac:dyDescent="0.3">
      <c r="AB345" s="4"/>
    </row>
    <row r="346" spans="28:28" ht="14.25" customHeight="1" x14ac:dyDescent="0.3">
      <c r="AB346" s="4"/>
    </row>
    <row r="347" spans="28:28" ht="14.25" customHeight="1" x14ac:dyDescent="0.3">
      <c r="AB347" s="4"/>
    </row>
    <row r="348" spans="28:28" ht="14.25" customHeight="1" x14ac:dyDescent="0.3">
      <c r="AB348" s="4"/>
    </row>
    <row r="349" spans="28:28" ht="14.25" customHeight="1" x14ac:dyDescent="0.3">
      <c r="AB349" s="4"/>
    </row>
    <row r="350" spans="28:28" ht="14.25" customHeight="1" x14ac:dyDescent="0.3">
      <c r="AB350" s="4"/>
    </row>
    <row r="351" spans="28:28" ht="14.25" customHeight="1" x14ac:dyDescent="0.3">
      <c r="AB351" s="4"/>
    </row>
    <row r="352" spans="28:28" ht="14.25" customHeight="1" x14ac:dyDescent="0.3">
      <c r="AB352" s="4"/>
    </row>
    <row r="353" spans="28:28" ht="14.25" customHeight="1" x14ac:dyDescent="0.3">
      <c r="AB353" s="4"/>
    </row>
    <row r="354" spans="28:28" ht="14.25" customHeight="1" x14ac:dyDescent="0.3">
      <c r="AB354" s="4"/>
    </row>
    <row r="355" spans="28:28" ht="14.25" customHeight="1" x14ac:dyDescent="0.3">
      <c r="AB355" s="4"/>
    </row>
    <row r="356" spans="28:28" ht="14.25" customHeight="1" x14ac:dyDescent="0.3">
      <c r="AB356" s="4"/>
    </row>
    <row r="357" spans="28:28" ht="14.25" customHeight="1" x14ac:dyDescent="0.3">
      <c r="AB357" s="4"/>
    </row>
    <row r="358" spans="28:28" ht="14.25" customHeight="1" x14ac:dyDescent="0.3">
      <c r="AB358" s="4"/>
    </row>
    <row r="359" spans="28:28" ht="14.25" customHeight="1" x14ac:dyDescent="0.3">
      <c r="AB359" s="4"/>
    </row>
    <row r="360" spans="28:28" ht="14.25" customHeight="1" x14ac:dyDescent="0.3">
      <c r="AB360" s="4"/>
    </row>
    <row r="361" spans="28:28" ht="14.25" customHeight="1" x14ac:dyDescent="0.3">
      <c r="AB361" s="4"/>
    </row>
    <row r="362" spans="28:28" ht="14.25" customHeight="1" x14ac:dyDescent="0.3">
      <c r="AB362" s="4"/>
    </row>
    <row r="363" spans="28:28" ht="14.25" customHeight="1" x14ac:dyDescent="0.3">
      <c r="AB363" s="4"/>
    </row>
    <row r="364" spans="28:28" ht="14.25" customHeight="1" x14ac:dyDescent="0.3">
      <c r="AB364" s="4"/>
    </row>
    <row r="365" spans="28:28" ht="14.25" customHeight="1" x14ac:dyDescent="0.3">
      <c r="AB365" s="4"/>
    </row>
    <row r="366" spans="28:28" ht="14.25" customHeight="1" x14ac:dyDescent="0.3">
      <c r="AB366" s="4"/>
    </row>
    <row r="367" spans="28:28" ht="14.25" customHeight="1" x14ac:dyDescent="0.3">
      <c r="AB367" s="4"/>
    </row>
    <row r="368" spans="28:28" ht="14.25" customHeight="1" x14ac:dyDescent="0.3">
      <c r="AB368" s="4"/>
    </row>
    <row r="369" spans="28:28" ht="14.25" customHeight="1" x14ac:dyDescent="0.3">
      <c r="AB369" s="4"/>
    </row>
    <row r="370" spans="28:28" ht="14.25" customHeight="1" x14ac:dyDescent="0.3">
      <c r="AB370" s="4"/>
    </row>
    <row r="371" spans="28:28" ht="14.25" customHeight="1" x14ac:dyDescent="0.3">
      <c r="AB371" s="4"/>
    </row>
    <row r="372" spans="28:28" ht="14.25" customHeight="1" x14ac:dyDescent="0.3">
      <c r="AB372" s="4"/>
    </row>
    <row r="373" spans="28:28" ht="14.25" customHeight="1" x14ac:dyDescent="0.3">
      <c r="AB373" s="4"/>
    </row>
    <row r="374" spans="28:28" ht="14.25" customHeight="1" x14ac:dyDescent="0.3">
      <c r="AB374" s="4"/>
    </row>
    <row r="375" spans="28:28" ht="14.25" customHeight="1" x14ac:dyDescent="0.3">
      <c r="AB375" s="4"/>
    </row>
    <row r="376" spans="28:28" ht="14.25" customHeight="1" x14ac:dyDescent="0.3">
      <c r="AB376" s="4"/>
    </row>
    <row r="377" spans="28:28" ht="14.25" customHeight="1" x14ac:dyDescent="0.3">
      <c r="AB377" s="4"/>
    </row>
    <row r="378" spans="28:28" ht="14.25" customHeight="1" x14ac:dyDescent="0.3">
      <c r="AB378" s="4"/>
    </row>
    <row r="379" spans="28:28" ht="14.25" customHeight="1" x14ac:dyDescent="0.3">
      <c r="AB379" s="4"/>
    </row>
    <row r="380" spans="28:28" ht="14.25" customHeight="1" x14ac:dyDescent="0.3">
      <c r="AB380" s="4"/>
    </row>
    <row r="381" spans="28:28" ht="14.25" customHeight="1" x14ac:dyDescent="0.3">
      <c r="AB381" s="4"/>
    </row>
    <row r="382" spans="28:28" ht="14.25" customHeight="1" x14ac:dyDescent="0.3">
      <c r="AB382" s="4"/>
    </row>
    <row r="383" spans="28:28" ht="14.25" customHeight="1" x14ac:dyDescent="0.3">
      <c r="AB383" s="4"/>
    </row>
    <row r="384" spans="28:28" ht="14.25" customHeight="1" x14ac:dyDescent="0.3">
      <c r="AB384" s="4"/>
    </row>
    <row r="385" spans="28:28" ht="14.25" customHeight="1" x14ac:dyDescent="0.3">
      <c r="AB385" s="4"/>
    </row>
    <row r="386" spans="28:28" ht="14.25" customHeight="1" x14ac:dyDescent="0.3">
      <c r="AB386" s="4"/>
    </row>
    <row r="387" spans="28:28" ht="14.25" customHeight="1" x14ac:dyDescent="0.3">
      <c r="AB387" s="4"/>
    </row>
    <row r="388" spans="28:28" ht="14.25" customHeight="1" x14ac:dyDescent="0.3">
      <c r="AB388" s="4"/>
    </row>
    <row r="389" spans="28:28" ht="14.25" customHeight="1" x14ac:dyDescent="0.3">
      <c r="AB389" s="4"/>
    </row>
    <row r="390" spans="28:28" ht="14.25" customHeight="1" x14ac:dyDescent="0.3">
      <c r="AB390" s="4"/>
    </row>
    <row r="391" spans="28:28" ht="14.25" customHeight="1" x14ac:dyDescent="0.3">
      <c r="AB391" s="4"/>
    </row>
    <row r="392" spans="28:28" ht="14.25" customHeight="1" x14ac:dyDescent="0.3">
      <c r="AB392" s="4"/>
    </row>
    <row r="393" spans="28:28" ht="14.25" customHeight="1" x14ac:dyDescent="0.3">
      <c r="AB393" s="4"/>
    </row>
    <row r="394" spans="28:28" ht="14.25" customHeight="1" x14ac:dyDescent="0.3">
      <c r="AB394" s="4"/>
    </row>
    <row r="395" spans="28:28" ht="14.25" customHeight="1" x14ac:dyDescent="0.3">
      <c r="AB395" s="4"/>
    </row>
    <row r="396" spans="28:28" ht="14.25" customHeight="1" x14ac:dyDescent="0.3">
      <c r="AB396" s="4"/>
    </row>
    <row r="397" spans="28:28" ht="14.25" customHeight="1" x14ac:dyDescent="0.3">
      <c r="AB397" s="4"/>
    </row>
    <row r="398" spans="28:28" ht="14.25" customHeight="1" x14ac:dyDescent="0.3">
      <c r="AB398" s="4"/>
    </row>
    <row r="399" spans="28:28" ht="14.25" customHeight="1" x14ac:dyDescent="0.3">
      <c r="AB399" s="4"/>
    </row>
    <row r="400" spans="28:28" ht="14.25" customHeight="1" x14ac:dyDescent="0.3">
      <c r="AB400" s="4"/>
    </row>
    <row r="401" spans="28:28" ht="14.25" customHeight="1" x14ac:dyDescent="0.3">
      <c r="AB401" s="4"/>
    </row>
    <row r="402" spans="28:28" ht="14.25" customHeight="1" x14ac:dyDescent="0.3">
      <c r="AB402" s="4"/>
    </row>
    <row r="403" spans="28:28" ht="14.25" customHeight="1" x14ac:dyDescent="0.3">
      <c r="AB403" s="4"/>
    </row>
    <row r="404" spans="28:28" ht="14.25" customHeight="1" x14ac:dyDescent="0.3">
      <c r="AB404" s="4"/>
    </row>
    <row r="405" spans="28:28" ht="14.25" customHeight="1" x14ac:dyDescent="0.3">
      <c r="AB405" s="4"/>
    </row>
    <row r="406" spans="28:28" ht="14.25" customHeight="1" x14ac:dyDescent="0.3">
      <c r="AB406" s="4"/>
    </row>
    <row r="407" spans="28:28" ht="14.25" customHeight="1" x14ac:dyDescent="0.3">
      <c r="AB407" s="4"/>
    </row>
    <row r="408" spans="28:28" ht="14.25" customHeight="1" x14ac:dyDescent="0.3">
      <c r="AB408" s="4"/>
    </row>
    <row r="409" spans="28:28" ht="14.25" customHeight="1" x14ac:dyDescent="0.3">
      <c r="AB409" s="4"/>
    </row>
    <row r="410" spans="28:28" ht="14.25" customHeight="1" x14ac:dyDescent="0.3">
      <c r="AB410" s="4"/>
    </row>
    <row r="411" spans="28:28" ht="14.25" customHeight="1" x14ac:dyDescent="0.3">
      <c r="AB411" s="4"/>
    </row>
    <row r="412" spans="28:28" ht="14.25" customHeight="1" x14ac:dyDescent="0.3">
      <c r="AB412" s="4"/>
    </row>
    <row r="413" spans="28:28" ht="14.25" customHeight="1" x14ac:dyDescent="0.3">
      <c r="AB413" s="4"/>
    </row>
    <row r="414" spans="28:28" ht="14.25" customHeight="1" x14ac:dyDescent="0.3">
      <c r="AB414" s="4"/>
    </row>
    <row r="415" spans="28:28" ht="14.25" customHeight="1" x14ac:dyDescent="0.3">
      <c r="AB415" s="4"/>
    </row>
    <row r="416" spans="28:28" ht="14.25" customHeight="1" x14ac:dyDescent="0.3">
      <c r="AB416" s="4"/>
    </row>
    <row r="417" spans="28:28" ht="14.25" customHeight="1" x14ac:dyDescent="0.3">
      <c r="AB417" s="4"/>
    </row>
    <row r="418" spans="28:28" ht="14.25" customHeight="1" x14ac:dyDescent="0.3">
      <c r="AB418" s="4"/>
    </row>
    <row r="419" spans="28:28" ht="14.25" customHeight="1" x14ac:dyDescent="0.3">
      <c r="AB419" s="4"/>
    </row>
    <row r="420" spans="28:28" ht="14.25" customHeight="1" x14ac:dyDescent="0.3">
      <c r="AB420" s="4"/>
    </row>
    <row r="421" spans="28:28" ht="14.25" customHeight="1" x14ac:dyDescent="0.3">
      <c r="AB421" s="4"/>
    </row>
    <row r="422" spans="28:28" ht="14.25" customHeight="1" x14ac:dyDescent="0.3">
      <c r="AB422" s="4"/>
    </row>
    <row r="423" spans="28:28" ht="14.25" customHeight="1" x14ac:dyDescent="0.3">
      <c r="AB423" s="4"/>
    </row>
    <row r="424" spans="28:28" ht="14.25" customHeight="1" x14ac:dyDescent="0.3">
      <c r="AB424" s="4"/>
    </row>
    <row r="425" spans="28:28" ht="14.25" customHeight="1" x14ac:dyDescent="0.3">
      <c r="AB425" s="4"/>
    </row>
    <row r="426" spans="28:28" ht="14.25" customHeight="1" x14ac:dyDescent="0.3">
      <c r="AB426" s="4"/>
    </row>
    <row r="427" spans="28:28" ht="14.25" customHeight="1" x14ac:dyDescent="0.3">
      <c r="AB427" s="4"/>
    </row>
    <row r="428" spans="28:28" ht="14.25" customHeight="1" x14ac:dyDescent="0.3">
      <c r="AB428" s="4"/>
    </row>
    <row r="429" spans="28:28" ht="14.25" customHeight="1" x14ac:dyDescent="0.3">
      <c r="AB429" s="4"/>
    </row>
    <row r="430" spans="28:28" ht="14.25" customHeight="1" x14ac:dyDescent="0.3">
      <c r="AB430" s="4"/>
    </row>
    <row r="431" spans="28:28" ht="14.25" customHeight="1" x14ac:dyDescent="0.3">
      <c r="AB431" s="4"/>
    </row>
    <row r="432" spans="28:28" ht="14.25" customHeight="1" x14ac:dyDescent="0.3">
      <c r="AB432" s="4"/>
    </row>
    <row r="433" spans="28:28" ht="14.25" customHeight="1" x14ac:dyDescent="0.3">
      <c r="AB433" s="4"/>
    </row>
    <row r="434" spans="28:28" ht="14.25" customHeight="1" x14ac:dyDescent="0.3">
      <c r="AB434" s="4"/>
    </row>
    <row r="435" spans="28:28" ht="14.25" customHeight="1" x14ac:dyDescent="0.3">
      <c r="AB435" s="4"/>
    </row>
    <row r="436" spans="28:28" ht="14.25" customHeight="1" x14ac:dyDescent="0.3">
      <c r="AB436" s="4"/>
    </row>
    <row r="437" spans="28:28" ht="14.25" customHeight="1" x14ac:dyDescent="0.3">
      <c r="AB437" s="4"/>
    </row>
    <row r="438" spans="28:28" ht="14.25" customHeight="1" x14ac:dyDescent="0.3">
      <c r="AB438" s="4"/>
    </row>
    <row r="439" spans="28:28" ht="14.25" customHeight="1" x14ac:dyDescent="0.3">
      <c r="AB439" s="4"/>
    </row>
    <row r="440" spans="28:28" ht="14.25" customHeight="1" x14ac:dyDescent="0.3">
      <c r="AB440" s="4"/>
    </row>
    <row r="441" spans="28:28" ht="14.25" customHeight="1" x14ac:dyDescent="0.3">
      <c r="AB441" s="4"/>
    </row>
    <row r="442" spans="28:28" ht="14.25" customHeight="1" x14ac:dyDescent="0.3">
      <c r="AB442" s="4"/>
    </row>
    <row r="443" spans="28:28" ht="14.25" customHeight="1" x14ac:dyDescent="0.3">
      <c r="AB443" s="4"/>
    </row>
    <row r="444" spans="28:28" ht="14.25" customHeight="1" x14ac:dyDescent="0.3">
      <c r="AB444" s="4"/>
    </row>
    <row r="445" spans="28:28" ht="14.25" customHeight="1" x14ac:dyDescent="0.3">
      <c r="AB445" s="4"/>
    </row>
    <row r="446" spans="28:28" ht="14.25" customHeight="1" x14ac:dyDescent="0.3">
      <c r="AB446" s="4"/>
    </row>
    <row r="447" spans="28:28" ht="14.25" customHeight="1" x14ac:dyDescent="0.3">
      <c r="AB447" s="4"/>
    </row>
    <row r="448" spans="28:28" ht="14.25" customHeight="1" x14ac:dyDescent="0.3">
      <c r="AB448" s="4"/>
    </row>
    <row r="449" spans="28:28" ht="14.25" customHeight="1" x14ac:dyDescent="0.3">
      <c r="AB449" s="4"/>
    </row>
    <row r="450" spans="28:28" ht="14.25" customHeight="1" x14ac:dyDescent="0.3">
      <c r="AB450" s="4"/>
    </row>
    <row r="451" spans="28:28" ht="14.25" customHeight="1" x14ac:dyDescent="0.3">
      <c r="AB451" s="4"/>
    </row>
    <row r="452" spans="28:28" ht="14.25" customHeight="1" x14ac:dyDescent="0.3">
      <c r="AB452" s="4"/>
    </row>
    <row r="453" spans="28:28" ht="14.25" customHeight="1" x14ac:dyDescent="0.3">
      <c r="AB453" s="4"/>
    </row>
    <row r="454" spans="28:28" ht="14.25" customHeight="1" x14ac:dyDescent="0.3">
      <c r="AB454" s="4"/>
    </row>
    <row r="455" spans="28:28" ht="14.25" customHeight="1" x14ac:dyDescent="0.3">
      <c r="AB455" s="4"/>
    </row>
    <row r="456" spans="28:28" ht="14.25" customHeight="1" x14ac:dyDescent="0.3">
      <c r="AB456" s="4"/>
    </row>
    <row r="457" spans="28:28" ht="14.25" customHeight="1" x14ac:dyDescent="0.3">
      <c r="AB457" s="4"/>
    </row>
    <row r="458" spans="28:28" ht="14.25" customHeight="1" x14ac:dyDescent="0.3">
      <c r="AB458" s="4"/>
    </row>
    <row r="459" spans="28:28" ht="14.25" customHeight="1" x14ac:dyDescent="0.3">
      <c r="AB459" s="4"/>
    </row>
    <row r="460" spans="28:28" ht="14.25" customHeight="1" x14ac:dyDescent="0.3">
      <c r="AB460" s="4"/>
    </row>
    <row r="461" spans="28:28" ht="14.25" customHeight="1" x14ac:dyDescent="0.3">
      <c r="AB461" s="4"/>
    </row>
    <row r="462" spans="28:28" ht="14.25" customHeight="1" x14ac:dyDescent="0.3">
      <c r="AB462" s="4"/>
    </row>
    <row r="463" spans="28:28" ht="14.25" customHeight="1" x14ac:dyDescent="0.3">
      <c r="AB463" s="4"/>
    </row>
    <row r="464" spans="28:28" ht="14.25" customHeight="1" x14ac:dyDescent="0.3">
      <c r="AB464" s="4"/>
    </row>
    <row r="465" spans="28:28" ht="14.25" customHeight="1" x14ac:dyDescent="0.3">
      <c r="AB465" s="4"/>
    </row>
    <row r="466" spans="28:28" ht="14.25" customHeight="1" x14ac:dyDescent="0.3">
      <c r="AB466" s="4"/>
    </row>
    <row r="467" spans="28:28" ht="14.25" customHeight="1" x14ac:dyDescent="0.3">
      <c r="AB467" s="4"/>
    </row>
    <row r="468" spans="28:28" ht="14.25" customHeight="1" x14ac:dyDescent="0.3">
      <c r="AB468" s="4"/>
    </row>
    <row r="469" spans="28:28" ht="14.25" customHeight="1" x14ac:dyDescent="0.3">
      <c r="AB469" s="4"/>
    </row>
    <row r="470" spans="28:28" ht="14.25" customHeight="1" x14ac:dyDescent="0.3">
      <c r="AB470" s="4"/>
    </row>
    <row r="471" spans="28:28" ht="14.25" customHeight="1" x14ac:dyDescent="0.3">
      <c r="AB471" s="4"/>
    </row>
    <row r="472" spans="28:28" ht="14.25" customHeight="1" x14ac:dyDescent="0.3">
      <c r="AB472" s="4"/>
    </row>
    <row r="473" spans="28:28" ht="14.25" customHeight="1" x14ac:dyDescent="0.3">
      <c r="AB473" s="4"/>
    </row>
    <row r="474" spans="28:28" ht="14.25" customHeight="1" x14ac:dyDescent="0.3">
      <c r="AB474" s="4"/>
    </row>
    <row r="475" spans="28:28" ht="14.25" customHeight="1" x14ac:dyDescent="0.3">
      <c r="AB475" s="4"/>
    </row>
    <row r="476" spans="28:28" ht="14.25" customHeight="1" x14ac:dyDescent="0.3">
      <c r="AB476" s="4"/>
    </row>
    <row r="477" spans="28:28" ht="14.25" customHeight="1" x14ac:dyDescent="0.3">
      <c r="AB477" s="4"/>
    </row>
    <row r="478" spans="28:28" ht="14.25" customHeight="1" x14ac:dyDescent="0.3">
      <c r="AB478" s="4"/>
    </row>
    <row r="479" spans="28:28" ht="14.25" customHeight="1" x14ac:dyDescent="0.3">
      <c r="AB479" s="4"/>
    </row>
    <row r="480" spans="28:28" ht="14.25" customHeight="1" x14ac:dyDescent="0.3">
      <c r="AB480" s="4"/>
    </row>
    <row r="481" spans="28:28" ht="14.25" customHeight="1" x14ac:dyDescent="0.3">
      <c r="AB481" s="4"/>
    </row>
    <row r="482" spans="28:28" ht="14.25" customHeight="1" x14ac:dyDescent="0.3">
      <c r="AB482" s="4"/>
    </row>
    <row r="483" spans="28:28" ht="14.25" customHeight="1" x14ac:dyDescent="0.3">
      <c r="AB483" s="4"/>
    </row>
    <row r="484" spans="28:28" ht="14.25" customHeight="1" x14ac:dyDescent="0.3">
      <c r="AB484" s="4"/>
    </row>
    <row r="485" spans="28:28" ht="14.25" customHeight="1" x14ac:dyDescent="0.3">
      <c r="AB485" s="4"/>
    </row>
    <row r="486" spans="28:28" ht="14.25" customHeight="1" x14ac:dyDescent="0.3">
      <c r="AB486" s="4"/>
    </row>
    <row r="487" spans="28:28" ht="14.25" customHeight="1" x14ac:dyDescent="0.3">
      <c r="AB487" s="4"/>
    </row>
    <row r="488" spans="28:28" ht="14.25" customHeight="1" x14ac:dyDescent="0.3">
      <c r="AB488" s="4"/>
    </row>
    <row r="489" spans="28:28" ht="14.25" customHeight="1" x14ac:dyDescent="0.3">
      <c r="AB489" s="4"/>
    </row>
    <row r="490" spans="28:28" ht="14.25" customHeight="1" x14ac:dyDescent="0.3">
      <c r="AB490" s="4"/>
    </row>
    <row r="491" spans="28:28" ht="14.25" customHeight="1" x14ac:dyDescent="0.3">
      <c r="AB491" s="4"/>
    </row>
    <row r="492" spans="28:28" ht="14.25" customHeight="1" x14ac:dyDescent="0.3">
      <c r="AB492" s="4"/>
    </row>
    <row r="493" spans="28:28" ht="14.25" customHeight="1" x14ac:dyDescent="0.3">
      <c r="AB493" s="4"/>
    </row>
    <row r="494" spans="28:28" ht="14.25" customHeight="1" x14ac:dyDescent="0.3">
      <c r="AB494" s="4"/>
    </row>
    <row r="495" spans="28:28" ht="14.25" customHeight="1" x14ac:dyDescent="0.3">
      <c r="AB495" s="4"/>
    </row>
    <row r="496" spans="28:28" ht="14.25" customHeight="1" x14ac:dyDescent="0.3">
      <c r="AB496" s="4"/>
    </row>
    <row r="497" spans="28:28" ht="14.25" customHeight="1" x14ac:dyDescent="0.3">
      <c r="AB497" s="4"/>
    </row>
    <row r="498" spans="28:28" ht="14.25" customHeight="1" x14ac:dyDescent="0.3">
      <c r="AB498" s="4"/>
    </row>
    <row r="499" spans="28:28" ht="14.25" customHeight="1" x14ac:dyDescent="0.3">
      <c r="AB499" s="4"/>
    </row>
    <row r="500" spans="28:28" ht="14.25" customHeight="1" x14ac:dyDescent="0.3">
      <c r="AB500" s="4"/>
    </row>
    <row r="501" spans="28:28" ht="14.25" customHeight="1" x14ac:dyDescent="0.3">
      <c r="AB501" s="4"/>
    </row>
    <row r="502" spans="28:28" ht="14.25" customHeight="1" x14ac:dyDescent="0.3">
      <c r="AB502" s="4"/>
    </row>
    <row r="503" spans="28:28" ht="14.25" customHeight="1" x14ac:dyDescent="0.3">
      <c r="AB503" s="4"/>
    </row>
    <row r="504" spans="28:28" ht="14.25" customHeight="1" x14ac:dyDescent="0.3">
      <c r="AB504" s="4"/>
    </row>
    <row r="505" spans="28:28" ht="14.25" customHeight="1" x14ac:dyDescent="0.3">
      <c r="AB505" s="4"/>
    </row>
    <row r="506" spans="28:28" ht="14.25" customHeight="1" x14ac:dyDescent="0.3">
      <c r="AB506" s="4"/>
    </row>
    <row r="507" spans="28:28" ht="14.25" customHeight="1" x14ac:dyDescent="0.3">
      <c r="AB507" s="4"/>
    </row>
    <row r="508" spans="28:28" ht="14.25" customHeight="1" x14ac:dyDescent="0.3">
      <c r="AB508" s="4"/>
    </row>
    <row r="509" spans="28:28" ht="14.25" customHeight="1" x14ac:dyDescent="0.3">
      <c r="AB509" s="4"/>
    </row>
    <row r="510" spans="28:28" ht="14.25" customHeight="1" x14ac:dyDescent="0.3">
      <c r="AB510" s="4"/>
    </row>
    <row r="511" spans="28:28" ht="14.25" customHeight="1" x14ac:dyDescent="0.3">
      <c r="AB511" s="4"/>
    </row>
    <row r="512" spans="28:28" ht="14.25" customHeight="1" x14ac:dyDescent="0.3">
      <c r="AB512" s="4"/>
    </row>
    <row r="513" spans="28:28" ht="14.25" customHeight="1" x14ac:dyDescent="0.3">
      <c r="AB513" s="4"/>
    </row>
    <row r="514" spans="28:28" ht="14.25" customHeight="1" x14ac:dyDescent="0.3">
      <c r="AB514" s="4"/>
    </row>
    <row r="515" spans="28:28" ht="14.25" customHeight="1" x14ac:dyDescent="0.3">
      <c r="AB515" s="4"/>
    </row>
    <row r="516" spans="28:28" ht="14.25" customHeight="1" x14ac:dyDescent="0.3">
      <c r="AB516" s="4"/>
    </row>
    <row r="517" spans="28:28" ht="14.25" customHeight="1" x14ac:dyDescent="0.3">
      <c r="AB517" s="4"/>
    </row>
    <row r="518" spans="28:28" ht="14.25" customHeight="1" x14ac:dyDescent="0.3">
      <c r="AB518" s="4"/>
    </row>
    <row r="519" spans="28:28" ht="14.25" customHeight="1" x14ac:dyDescent="0.3">
      <c r="AB519" s="4"/>
    </row>
    <row r="520" spans="28:28" ht="14.25" customHeight="1" x14ac:dyDescent="0.3">
      <c r="AB520" s="4"/>
    </row>
    <row r="521" spans="28:28" ht="14.25" customHeight="1" x14ac:dyDescent="0.3">
      <c r="AB521" s="4"/>
    </row>
    <row r="522" spans="28:28" ht="14.25" customHeight="1" x14ac:dyDescent="0.3">
      <c r="AB522" s="4"/>
    </row>
    <row r="523" spans="28:28" ht="14.25" customHeight="1" x14ac:dyDescent="0.3">
      <c r="AB523" s="4"/>
    </row>
    <row r="524" spans="28:28" ht="14.25" customHeight="1" x14ac:dyDescent="0.3">
      <c r="AB524" s="4"/>
    </row>
    <row r="525" spans="28:28" ht="14.25" customHeight="1" x14ac:dyDescent="0.3">
      <c r="AB525" s="4"/>
    </row>
    <row r="526" spans="28:28" ht="14.25" customHeight="1" x14ac:dyDescent="0.3">
      <c r="AB526" s="4"/>
    </row>
    <row r="527" spans="28:28" ht="14.25" customHeight="1" x14ac:dyDescent="0.3">
      <c r="AB527" s="4"/>
    </row>
    <row r="528" spans="28:28" ht="14.25" customHeight="1" x14ac:dyDescent="0.3">
      <c r="AB528" s="4"/>
    </row>
    <row r="529" spans="28:28" ht="14.25" customHeight="1" x14ac:dyDescent="0.3">
      <c r="AB529" s="4"/>
    </row>
    <row r="530" spans="28:28" ht="14.25" customHeight="1" x14ac:dyDescent="0.3">
      <c r="AB530" s="4"/>
    </row>
    <row r="531" spans="28:28" ht="14.25" customHeight="1" x14ac:dyDescent="0.3">
      <c r="AB531" s="4"/>
    </row>
    <row r="532" spans="28:28" ht="14.25" customHeight="1" x14ac:dyDescent="0.3">
      <c r="AB532" s="4"/>
    </row>
    <row r="533" spans="28:28" ht="14.25" customHeight="1" x14ac:dyDescent="0.3">
      <c r="AB533" s="4"/>
    </row>
    <row r="534" spans="28:28" ht="14.25" customHeight="1" x14ac:dyDescent="0.3">
      <c r="AB534" s="4"/>
    </row>
    <row r="535" spans="28:28" ht="14.25" customHeight="1" x14ac:dyDescent="0.3">
      <c r="AB535" s="4"/>
    </row>
    <row r="536" spans="28:28" ht="14.25" customHeight="1" x14ac:dyDescent="0.3">
      <c r="AB536" s="4"/>
    </row>
    <row r="537" spans="28:28" ht="14.25" customHeight="1" x14ac:dyDescent="0.3">
      <c r="AB537" s="4"/>
    </row>
    <row r="538" spans="28:28" ht="14.25" customHeight="1" x14ac:dyDescent="0.3">
      <c r="AB538" s="4"/>
    </row>
    <row r="539" spans="28:28" ht="14.25" customHeight="1" x14ac:dyDescent="0.3">
      <c r="AB539" s="4"/>
    </row>
    <row r="540" spans="28:28" ht="14.25" customHeight="1" x14ac:dyDescent="0.3">
      <c r="AB540" s="4"/>
    </row>
    <row r="541" spans="28:28" ht="14.25" customHeight="1" x14ac:dyDescent="0.3">
      <c r="AB541" s="4"/>
    </row>
    <row r="542" spans="28:28" ht="14.25" customHeight="1" x14ac:dyDescent="0.3">
      <c r="AB542" s="4"/>
    </row>
    <row r="543" spans="28:28" ht="14.25" customHeight="1" x14ac:dyDescent="0.3">
      <c r="AB543" s="4"/>
    </row>
    <row r="544" spans="28:28" ht="14.25" customHeight="1" x14ac:dyDescent="0.3">
      <c r="AB544" s="4"/>
    </row>
    <row r="545" spans="28:28" ht="14.25" customHeight="1" x14ac:dyDescent="0.3">
      <c r="AB545" s="4"/>
    </row>
    <row r="546" spans="28:28" ht="14.25" customHeight="1" x14ac:dyDescent="0.3">
      <c r="AB546" s="4"/>
    </row>
    <row r="547" spans="28:28" ht="14.25" customHeight="1" x14ac:dyDescent="0.3">
      <c r="AB547" s="4"/>
    </row>
    <row r="548" spans="28:28" ht="14.25" customHeight="1" x14ac:dyDescent="0.3">
      <c r="AB548" s="4"/>
    </row>
    <row r="549" spans="28:28" ht="14.25" customHeight="1" x14ac:dyDescent="0.3">
      <c r="AB549" s="4"/>
    </row>
    <row r="550" spans="28:28" ht="14.25" customHeight="1" x14ac:dyDescent="0.3">
      <c r="AB550" s="4"/>
    </row>
    <row r="551" spans="28:28" ht="14.25" customHeight="1" x14ac:dyDescent="0.3">
      <c r="AB551" s="4"/>
    </row>
    <row r="552" spans="28:28" ht="14.25" customHeight="1" x14ac:dyDescent="0.3">
      <c r="AB552" s="4"/>
    </row>
    <row r="553" spans="28:28" ht="14.25" customHeight="1" x14ac:dyDescent="0.3">
      <c r="AB553" s="4"/>
    </row>
    <row r="554" spans="28:28" ht="14.25" customHeight="1" x14ac:dyDescent="0.3">
      <c r="AB554" s="4"/>
    </row>
    <row r="555" spans="28:28" ht="14.25" customHeight="1" x14ac:dyDescent="0.3">
      <c r="AB555" s="4"/>
    </row>
    <row r="556" spans="28:28" ht="14.25" customHeight="1" x14ac:dyDescent="0.3">
      <c r="AB556" s="4"/>
    </row>
    <row r="557" spans="28:28" ht="14.25" customHeight="1" x14ac:dyDescent="0.3">
      <c r="AB557" s="4"/>
    </row>
    <row r="558" spans="28:28" ht="14.25" customHeight="1" x14ac:dyDescent="0.3">
      <c r="AB558" s="4"/>
    </row>
    <row r="559" spans="28:28" ht="14.25" customHeight="1" x14ac:dyDescent="0.3">
      <c r="AB559" s="4"/>
    </row>
    <row r="560" spans="28:28" ht="14.25" customHeight="1" x14ac:dyDescent="0.3">
      <c r="AB560" s="4"/>
    </row>
    <row r="561" spans="28:28" ht="14.25" customHeight="1" x14ac:dyDescent="0.3">
      <c r="AB561" s="4"/>
    </row>
    <row r="562" spans="28:28" ht="14.25" customHeight="1" x14ac:dyDescent="0.3">
      <c r="AB562" s="4"/>
    </row>
    <row r="563" spans="28:28" ht="14.25" customHeight="1" x14ac:dyDescent="0.3">
      <c r="AB563" s="4"/>
    </row>
    <row r="564" spans="28:28" ht="14.25" customHeight="1" x14ac:dyDescent="0.3">
      <c r="AB564" s="4"/>
    </row>
    <row r="565" spans="28:28" ht="14.25" customHeight="1" x14ac:dyDescent="0.3">
      <c r="AB565" s="4"/>
    </row>
    <row r="566" spans="28:28" ht="14.25" customHeight="1" x14ac:dyDescent="0.3">
      <c r="AB566" s="4"/>
    </row>
    <row r="567" spans="28:28" ht="14.25" customHeight="1" x14ac:dyDescent="0.3">
      <c r="AB567" s="4"/>
    </row>
    <row r="568" spans="28:28" ht="14.25" customHeight="1" x14ac:dyDescent="0.3">
      <c r="AB568" s="4"/>
    </row>
    <row r="569" spans="28:28" ht="14.25" customHeight="1" x14ac:dyDescent="0.3">
      <c r="AB569" s="4"/>
    </row>
    <row r="570" spans="28:28" ht="14.25" customHeight="1" x14ac:dyDescent="0.3">
      <c r="AB570" s="4"/>
    </row>
    <row r="571" spans="28:28" ht="14.25" customHeight="1" x14ac:dyDescent="0.3">
      <c r="AB571" s="4"/>
    </row>
    <row r="572" spans="28:28" ht="14.25" customHeight="1" x14ac:dyDescent="0.3">
      <c r="AB572" s="4"/>
    </row>
    <row r="573" spans="28:28" ht="14.25" customHeight="1" x14ac:dyDescent="0.3">
      <c r="AB573" s="4"/>
    </row>
    <row r="574" spans="28:28" ht="14.25" customHeight="1" x14ac:dyDescent="0.3">
      <c r="AB574" s="4"/>
    </row>
    <row r="575" spans="28:28" ht="14.25" customHeight="1" x14ac:dyDescent="0.3">
      <c r="AB575" s="4"/>
    </row>
    <row r="576" spans="28:28" ht="14.25" customHeight="1" x14ac:dyDescent="0.3">
      <c r="AB576" s="4"/>
    </row>
    <row r="577" spans="28:28" ht="14.25" customHeight="1" x14ac:dyDescent="0.3">
      <c r="AB577" s="4"/>
    </row>
    <row r="578" spans="28:28" ht="14.25" customHeight="1" x14ac:dyDescent="0.3">
      <c r="AB578" s="4"/>
    </row>
    <row r="579" spans="28:28" ht="14.25" customHeight="1" x14ac:dyDescent="0.3">
      <c r="AB579" s="4"/>
    </row>
    <row r="580" spans="28:28" ht="14.25" customHeight="1" x14ac:dyDescent="0.3">
      <c r="AB580" s="4"/>
    </row>
    <row r="581" spans="28:28" ht="14.25" customHeight="1" x14ac:dyDescent="0.3">
      <c r="AB581" s="4"/>
    </row>
    <row r="582" spans="28:28" ht="14.25" customHeight="1" x14ac:dyDescent="0.3">
      <c r="AB582" s="4"/>
    </row>
    <row r="583" spans="28:28" ht="14.25" customHeight="1" x14ac:dyDescent="0.3">
      <c r="AB583" s="4"/>
    </row>
    <row r="584" spans="28:28" ht="14.25" customHeight="1" x14ac:dyDescent="0.3">
      <c r="AB584" s="4"/>
    </row>
    <row r="585" spans="28:28" ht="14.25" customHeight="1" x14ac:dyDescent="0.3">
      <c r="AB585" s="4"/>
    </row>
    <row r="586" spans="28:28" ht="14.25" customHeight="1" x14ac:dyDescent="0.3">
      <c r="AB586" s="4"/>
    </row>
    <row r="587" spans="28:28" ht="14.25" customHeight="1" x14ac:dyDescent="0.3">
      <c r="AB587" s="4"/>
    </row>
    <row r="588" spans="28:28" ht="14.25" customHeight="1" x14ac:dyDescent="0.3">
      <c r="AB588" s="4"/>
    </row>
    <row r="589" spans="28:28" ht="14.25" customHeight="1" x14ac:dyDescent="0.3">
      <c r="AB589" s="4"/>
    </row>
    <row r="590" spans="28:28" ht="14.25" customHeight="1" x14ac:dyDescent="0.3">
      <c r="AB590" s="4"/>
    </row>
    <row r="591" spans="28:28" ht="14.25" customHeight="1" x14ac:dyDescent="0.3">
      <c r="AB591" s="4"/>
    </row>
    <row r="592" spans="28:28" ht="14.25" customHeight="1" x14ac:dyDescent="0.3">
      <c r="AB592" s="4"/>
    </row>
    <row r="593" spans="28:28" ht="14.25" customHeight="1" x14ac:dyDescent="0.3">
      <c r="AB593" s="4"/>
    </row>
    <row r="594" spans="28:28" ht="14.25" customHeight="1" x14ac:dyDescent="0.3">
      <c r="AB594" s="4"/>
    </row>
    <row r="595" spans="28:28" ht="14.25" customHeight="1" x14ac:dyDescent="0.3">
      <c r="AB595" s="4"/>
    </row>
    <row r="596" spans="28:28" ht="14.25" customHeight="1" x14ac:dyDescent="0.3">
      <c r="AB596" s="4"/>
    </row>
    <row r="597" spans="28:28" ht="14.25" customHeight="1" x14ac:dyDescent="0.3">
      <c r="AB597" s="4"/>
    </row>
    <row r="598" spans="28:28" ht="14.25" customHeight="1" x14ac:dyDescent="0.3">
      <c r="AB598" s="4"/>
    </row>
    <row r="599" spans="28:28" ht="14.25" customHeight="1" x14ac:dyDescent="0.3">
      <c r="AB599" s="4"/>
    </row>
    <row r="600" spans="28:28" ht="14.25" customHeight="1" x14ac:dyDescent="0.3">
      <c r="AB600" s="4"/>
    </row>
    <row r="601" spans="28:28" ht="14.25" customHeight="1" x14ac:dyDescent="0.3">
      <c r="AB601" s="4"/>
    </row>
    <row r="602" spans="28:28" ht="14.25" customHeight="1" x14ac:dyDescent="0.3">
      <c r="AB602" s="4"/>
    </row>
    <row r="603" spans="28:28" ht="14.25" customHeight="1" x14ac:dyDescent="0.3">
      <c r="AB603" s="4"/>
    </row>
    <row r="604" spans="28:28" ht="14.25" customHeight="1" x14ac:dyDescent="0.3">
      <c r="AB604" s="4"/>
    </row>
    <row r="605" spans="28:28" ht="14.25" customHeight="1" x14ac:dyDescent="0.3">
      <c r="AB605" s="4"/>
    </row>
    <row r="606" spans="28:28" ht="14.25" customHeight="1" x14ac:dyDescent="0.3">
      <c r="AB606" s="4"/>
    </row>
    <row r="607" spans="28:28" ht="14.25" customHeight="1" x14ac:dyDescent="0.3">
      <c r="AB607" s="4"/>
    </row>
    <row r="608" spans="28:28" ht="14.25" customHeight="1" x14ac:dyDescent="0.3">
      <c r="AB608" s="4"/>
    </row>
    <row r="609" spans="28:28" ht="14.25" customHeight="1" x14ac:dyDescent="0.3">
      <c r="AB609" s="4"/>
    </row>
    <row r="610" spans="28:28" ht="14.25" customHeight="1" x14ac:dyDescent="0.3">
      <c r="AB610" s="4"/>
    </row>
    <row r="611" spans="28:28" ht="14.25" customHeight="1" x14ac:dyDescent="0.3">
      <c r="AB611" s="4"/>
    </row>
    <row r="612" spans="28:28" ht="14.25" customHeight="1" x14ac:dyDescent="0.3">
      <c r="AB612" s="4"/>
    </row>
    <row r="613" spans="28:28" ht="14.25" customHeight="1" x14ac:dyDescent="0.3">
      <c r="AB613" s="4"/>
    </row>
    <row r="614" spans="28:28" ht="14.25" customHeight="1" x14ac:dyDescent="0.3">
      <c r="AB614" s="4"/>
    </row>
    <row r="615" spans="28:28" ht="14.25" customHeight="1" x14ac:dyDescent="0.3">
      <c r="AB615" s="4"/>
    </row>
    <row r="616" spans="28:28" ht="14.25" customHeight="1" x14ac:dyDescent="0.3">
      <c r="AB616" s="4"/>
    </row>
    <row r="617" spans="28:28" ht="14.25" customHeight="1" x14ac:dyDescent="0.3">
      <c r="AB617" s="4"/>
    </row>
    <row r="618" spans="28:28" ht="14.25" customHeight="1" x14ac:dyDescent="0.3">
      <c r="AB618" s="4"/>
    </row>
    <row r="619" spans="28:28" ht="14.25" customHeight="1" x14ac:dyDescent="0.3">
      <c r="AB619" s="4"/>
    </row>
    <row r="620" spans="28:28" ht="14.25" customHeight="1" x14ac:dyDescent="0.3">
      <c r="AB620" s="4"/>
    </row>
    <row r="621" spans="28:28" ht="14.25" customHeight="1" x14ac:dyDescent="0.3">
      <c r="AB621" s="4"/>
    </row>
    <row r="622" spans="28:28" ht="14.25" customHeight="1" x14ac:dyDescent="0.3">
      <c r="AB622" s="4"/>
    </row>
    <row r="623" spans="28:28" ht="14.25" customHeight="1" x14ac:dyDescent="0.3">
      <c r="AB623" s="4"/>
    </row>
    <row r="624" spans="28:28" ht="14.25" customHeight="1" x14ac:dyDescent="0.3">
      <c r="AB624" s="4"/>
    </row>
    <row r="625" spans="28:28" ht="14.25" customHeight="1" x14ac:dyDescent="0.3">
      <c r="AB625" s="4"/>
    </row>
    <row r="626" spans="28:28" ht="14.25" customHeight="1" x14ac:dyDescent="0.3">
      <c r="AB626" s="4"/>
    </row>
    <row r="627" spans="28:28" ht="14.25" customHeight="1" x14ac:dyDescent="0.3">
      <c r="AB627" s="4"/>
    </row>
    <row r="628" spans="28:28" ht="14.25" customHeight="1" x14ac:dyDescent="0.3">
      <c r="AB628" s="4"/>
    </row>
    <row r="629" spans="28:28" ht="14.25" customHeight="1" x14ac:dyDescent="0.3">
      <c r="AB629" s="4"/>
    </row>
    <row r="630" spans="28:28" ht="14.25" customHeight="1" x14ac:dyDescent="0.3">
      <c r="AB630" s="4"/>
    </row>
    <row r="631" spans="28:28" ht="14.25" customHeight="1" x14ac:dyDescent="0.3">
      <c r="AB631" s="4"/>
    </row>
    <row r="632" spans="28:28" ht="14.25" customHeight="1" x14ac:dyDescent="0.3">
      <c r="AB632" s="4"/>
    </row>
    <row r="633" spans="28:28" ht="14.25" customHeight="1" x14ac:dyDescent="0.3">
      <c r="AB633" s="4"/>
    </row>
    <row r="634" spans="28:28" ht="14.25" customHeight="1" x14ac:dyDescent="0.3">
      <c r="AB634" s="4"/>
    </row>
    <row r="635" spans="28:28" ht="14.25" customHeight="1" x14ac:dyDescent="0.3">
      <c r="AB635" s="4"/>
    </row>
    <row r="636" spans="28:28" ht="14.25" customHeight="1" x14ac:dyDescent="0.3">
      <c r="AB636" s="4"/>
    </row>
    <row r="637" spans="28:28" ht="14.25" customHeight="1" x14ac:dyDescent="0.3">
      <c r="AB637" s="4"/>
    </row>
    <row r="638" spans="28:28" ht="14.25" customHeight="1" x14ac:dyDescent="0.3">
      <c r="AB638" s="4"/>
    </row>
    <row r="639" spans="28:28" ht="14.25" customHeight="1" x14ac:dyDescent="0.3">
      <c r="AB639" s="4"/>
    </row>
    <row r="640" spans="28:28" ht="14.25" customHeight="1" x14ac:dyDescent="0.3">
      <c r="AB640" s="4"/>
    </row>
    <row r="641" spans="28:28" ht="14.25" customHeight="1" x14ac:dyDescent="0.3">
      <c r="AB641" s="4"/>
    </row>
    <row r="642" spans="28:28" ht="14.25" customHeight="1" x14ac:dyDescent="0.3">
      <c r="AB642" s="4"/>
    </row>
    <row r="643" spans="28:28" ht="14.25" customHeight="1" x14ac:dyDescent="0.3">
      <c r="AB643" s="4"/>
    </row>
    <row r="644" spans="28:28" ht="14.25" customHeight="1" x14ac:dyDescent="0.3">
      <c r="AB644" s="4"/>
    </row>
    <row r="645" spans="28:28" ht="14.25" customHeight="1" x14ac:dyDescent="0.3">
      <c r="AB645" s="4"/>
    </row>
    <row r="646" spans="28:28" ht="14.25" customHeight="1" x14ac:dyDescent="0.3">
      <c r="AB646" s="4"/>
    </row>
    <row r="647" spans="28:28" ht="14.25" customHeight="1" x14ac:dyDescent="0.3">
      <c r="AB647" s="4"/>
    </row>
    <row r="648" spans="28:28" ht="14.25" customHeight="1" x14ac:dyDescent="0.3">
      <c r="AB648" s="4"/>
    </row>
    <row r="649" spans="28:28" ht="14.25" customHeight="1" x14ac:dyDescent="0.3">
      <c r="AB649" s="4"/>
    </row>
    <row r="650" spans="28:28" ht="14.25" customHeight="1" x14ac:dyDescent="0.3">
      <c r="AB650" s="4"/>
    </row>
    <row r="651" spans="28:28" ht="14.25" customHeight="1" x14ac:dyDescent="0.3">
      <c r="AB651" s="4"/>
    </row>
    <row r="652" spans="28:28" ht="14.25" customHeight="1" x14ac:dyDescent="0.3">
      <c r="AB652" s="4"/>
    </row>
    <row r="653" spans="28:28" ht="14.25" customHeight="1" x14ac:dyDescent="0.3">
      <c r="AB653" s="4"/>
    </row>
    <row r="654" spans="28:28" ht="14.25" customHeight="1" x14ac:dyDescent="0.3">
      <c r="AB654" s="4"/>
    </row>
    <row r="655" spans="28:28" ht="14.25" customHeight="1" x14ac:dyDescent="0.3">
      <c r="AB655" s="4"/>
    </row>
    <row r="656" spans="28:28" ht="14.25" customHeight="1" x14ac:dyDescent="0.3">
      <c r="AB656" s="4"/>
    </row>
    <row r="657" spans="28:28" ht="14.25" customHeight="1" x14ac:dyDescent="0.3">
      <c r="AB657" s="4"/>
    </row>
    <row r="658" spans="28:28" ht="14.25" customHeight="1" x14ac:dyDescent="0.3">
      <c r="AB658" s="4"/>
    </row>
    <row r="659" spans="28:28" ht="14.25" customHeight="1" x14ac:dyDescent="0.3">
      <c r="AB659" s="4"/>
    </row>
    <row r="660" spans="28:28" ht="14.25" customHeight="1" x14ac:dyDescent="0.3">
      <c r="AB660" s="4"/>
    </row>
    <row r="661" spans="28:28" ht="14.25" customHeight="1" x14ac:dyDescent="0.3">
      <c r="AB661" s="4"/>
    </row>
    <row r="662" spans="28:28" ht="14.25" customHeight="1" x14ac:dyDescent="0.3">
      <c r="AB662" s="4"/>
    </row>
    <row r="663" spans="28:28" ht="14.25" customHeight="1" x14ac:dyDescent="0.3">
      <c r="AB663" s="4"/>
    </row>
    <row r="664" spans="28:28" ht="14.25" customHeight="1" x14ac:dyDescent="0.3">
      <c r="AB664" s="4"/>
    </row>
    <row r="665" spans="28:28" ht="14.25" customHeight="1" x14ac:dyDescent="0.3">
      <c r="AB665" s="4"/>
    </row>
    <row r="666" spans="28:28" ht="14.25" customHeight="1" x14ac:dyDescent="0.3">
      <c r="AB666" s="4"/>
    </row>
    <row r="667" spans="28:28" ht="14.25" customHeight="1" x14ac:dyDescent="0.3">
      <c r="AB667" s="4"/>
    </row>
    <row r="668" spans="28:28" ht="14.25" customHeight="1" x14ac:dyDescent="0.3">
      <c r="AB668" s="4"/>
    </row>
    <row r="669" spans="28:28" ht="14.25" customHeight="1" x14ac:dyDescent="0.3">
      <c r="AB669" s="4"/>
    </row>
    <row r="670" spans="28:28" ht="14.25" customHeight="1" x14ac:dyDescent="0.3">
      <c r="AB670" s="4"/>
    </row>
    <row r="671" spans="28:28" ht="14.25" customHeight="1" x14ac:dyDescent="0.3">
      <c r="AB671" s="4"/>
    </row>
    <row r="672" spans="28:28" ht="14.25" customHeight="1" x14ac:dyDescent="0.3">
      <c r="AB672" s="4"/>
    </row>
    <row r="673" spans="28:28" ht="14.25" customHeight="1" x14ac:dyDescent="0.3">
      <c r="AB673" s="4"/>
    </row>
    <row r="674" spans="28:28" ht="14.25" customHeight="1" x14ac:dyDescent="0.3">
      <c r="AB674" s="4"/>
    </row>
    <row r="675" spans="28:28" ht="14.25" customHeight="1" x14ac:dyDescent="0.3">
      <c r="AB675" s="4"/>
    </row>
    <row r="676" spans="28:28" ht="14.25" customHeight="1" x14ac:dyDescent="0.3">
      <c r="AB676" s="4"/>
    </row>
    <row r="677" spans="28:28" ht="14.25" customHeight="1" x14ac:dyDescent="0.3">
      <c r="AB677" s="4"/>
    </row>
    <row r="678" spans="28:28" ht="14.25" customHeight="1" x14ac:dyDescent="0.3">
      <c r="AB678" s="4"/>
    </row>
    <row r="679" spans="28:28" ht="14.25" customHeight="1" x14ac:dyDescent="0.3">
      <c r="AB679" s="4"/>
    </row>
    <row r="680" spans="28:28" ht="14.25" customHeight="1" x14ac:dyDescent="0.3">
      <c r="AB680" s="4"/>
    </row>
    <row r="681" spans="28:28" ht="14.25" customHeight="1" x14ac:dyDescent="0.3">
      <c r="AB681" s="4"/>
    </row>
    <row r="682" spans="28:28" ht="14.25" customHeight="1" x14ac:dyDescent="0.3">
      <c r="AB682" s="4"/>
    </row>
    <row r="683" spans="28:28" ht="14.25" customHeight="1" x14ac:dyDescent="0.3">
      <c r="AB683" s="4"/>
    </row>
    <row r="684" spans="28:28" ht="14.25" customHeight="1" x14ac:dyDescent="0.3">
      <c r="AB684" s="4"/>
    </row>
    <row r="685" spans="28:28" ht="14.25" customHeight="1" x14ac:dyDescent="0.3">
      <c r="AB685" s="4"/>
    </row>
    <row r="686" spans="28:28" ht="14.25" customHeight="1" x14ac:dyDescent="0.3">
      <c r="AB686" s="4"/>
    </row>
    <row r="687" spans="28:28" ht="14.25" customHeight="1" x14ac:dyDescent="0.3">
      <c r="AB687" s="4"/>
    </row>
    <row r="688" spans="28:28" ht="14.25" customHeight="1" x14ac:dyDescent="0.3">
      <c r="AB688" s="4"/>
    </row>
    <row r="689" spans="28:28" ht="14.25" customHeight="1" x14ac:dyDescent="0.3">
      <c r="AB689" s="4"/>
    </row>
    <row r="690" spans="28:28" ht="14.25" customHeight="1" x14ac:dyDescent="0.3">
      <c r="AB690" s="4"/>
    </row>
    <row r="691" spans="28:28" ht="14.25" customHeight="1" x14ac:dyDescent="0.3">
      <c r="AB691" s="4"/>
    </row>
    <row r="692" spans="28:28" ht="14.25" customHeight="1" x14ac:dyDescent="0.3">
      <c r="AB692" s="4"/>
    </row>
    <row r="693" spans="28:28" ht="14.25" customHeight="1" x14ac:dyDescent="0.3">
      <c r="AB693" s="4"/>
    </row>
    <row r="694" spans="28:28" ht="14.25" customHeight="1" x14ac:dyDescent="0.3">
      <c r="AB694" s="4"/>
    </row>
    <row r="695" spans="28:28" ht="14.25" customHeight="1" x14ac:dyDescent="0.3">
      <c r="AB695" s="4"/>
    </row>
    <row r="696" spans="28:28" ht="14.25" customHeight="1" x14ac:dyDescent="0.3">
      <c r="AB696" s="4"/>
    </row>
    <row r="697" spans="28:28" ht="14.25" customHeight="1" x14ac:dyDescent="0.3">
      <c r="AB697" s="4"/>
    </row>
    <row r="698" spans="28:28" ht="14.25" customHeight="1" x14ac:dyDescent="0.3">
      <c r="AB698" s="4"/>
    </row>
    <row r="699" spans="28:28" ht="14.25" customHeight="1" x14ac:dyDescent="0.3">
      <c r="AB699" s="4"/>
    </row>
    <row r="700" spans="28:28" ht="14.25" customHeight="1" x14ac:dyDescent="0.3">
      <c r="AB700" s="4"/>
    </row>
    <row r="701" spans="28:28" ht="14.25" customHeight="1" x14ac:dyDescent="0.3">
      <c r="AB701" s="4"/>
    </row>
    <row r="702" spans="28:28" ht="14.25" customHeight="1" x14ac:dyDescent="0.3">
      <c r="AB702" s="4"/>
    </row>
    <row r="703" spans="28:28" ht="14.25" customHeight="1" x14ac:dyDescent="0.3">
      <c r="AB703" s="4"/>
    </row>
    <row r="704" spans="28:28" ht="14.25" customHeight="1" x14ac:dyDescent="0.3">
      <c r="AB704" s="4"/>
    </row>
    <row r="705" spans="28:28" ht="14.25" customHeight="1" x14ac:dyDescent="0.3">
      <c r="AB705" s="4"/>
    </row>
    <row r="706" spans="28:28" ht="14.25" customHeight="1" x14ac:dyDescent="0.3">
      <c r="AB706" s="4"/>
    </row>
    <row r="707" spans="28:28" ht="14.25" customHeight="1" x14ac:dyDescent="0.3">
      <c r="AB707" s="4"/>
    </row>
    <row r="708" spans="28:28" ht="14.25" customHeight="1" x14ac:dyDescent="0.3">
      <c r="AB708" s="4"/>
    </row>
    <row r="709" spans="28:28" ht="14.25" customHeight="1" x14ac:dyDescent="0.3">
      <c r="AB709" s="4"/>
    </row>
    <row r="710" spans="28:28" ht="14.25" customHeight="1" x14ac:dyDescent="0.3">
      <c r="AB710" s="4"/>
    </row>
    <row r="711" spans="28:28" ht="14.25" customHeight="1" x14ac:dyDescent="0.3">
      <c r="AB711" s="4"/>
    </row>
    <row r="712" spans="28:28" ht="14.25" customHeight="1" x14ac:dyDescent="0.3">
      <c r="AB712" s="4"/>
    </row>
    <row r="713" spans="28:28" ht="14.25" customHeight="1" x14ac:dyDescent="0.3">
      <c r="AB713" s="4"/>
    </row>
    <row r="714" spans="28:28" ht="14.25" customHeight="1" x14ac:dyDescent="0.3">
      <c r="AB714" s="4"/>
    </row>
    <row r="715" spans="28:28" ht="14.25" customHeight="1" x14ac:dyDescent="0.3">
      <c r="AB715" s="4"/>
    </row>
    <row r="716" spans="28:28" ht="14.25" customHeight="1" x14ac:dyDescent="0.3">
      <c r="AB716" s="4"/>
    </row>
    <row r="717" spans="28:28" ht="14.25" customHeight="1" x14ac:dyDescent="0.3">
      <c r="AB717" s="4"/>
    </row>
    <row r="718" spans="28:28" ht="14.25" customHeight="1" x14ac:dyDescent="0.3">
      <c r="AB718" s="4"/>
    </row>
    <row r="719" spans="28:28" ht="14.25" customHeight="1" x14ac:dyDescent="0.3">
      <c r="AB719" s="4"/>
    </row>
    <row r="720" spans="28:28" ht="14.25" customHeight="1" x14ac:dyDescent="0.3">
      <c r="AB720" s="4"/>
    </row>
    <row r="721" spans="28:28" ht="14.25" customHeight="1" x14ac:dyDescent="0.3">
      <c r="AB721" s="4"/>
    </row>
    <row r="722" spans="28:28" ht="14.25" customHeight="1" x14ac:dyDescent="0.3">
      <c r="AB722" s="4"/>
    </row>
    <row r="723" spans="28:28" ht="14.25" customHeight="1" x14ac:dyDescent="0.3">
      <c r="AB723" s="4"/>
    </row>
    <row r="724" spans="28:28" ht="14.25" customHeight="1" x14ac:dyDescent="0.3">
      <c r="AB724" s="4"/>
    </row>
    <row r="725" spans="28:28" ht="14.25" customHeight="1" x14ac:dyDescent="0.3">
      <c r="AB725" s="4"/>
    </row>
    <row r="726" spans="28:28" ht="14.25" customHeight="1" x14ac:dyDescent="0.3">
      <c r="AB726" s="4"/>
    </row>
    <row r="727" spans="28:28" ht="14.25" customHeight="1" x14ac:dyDescent="0.3">
      <c r="AB727" s="4"/>
    </row>
    <row r="728" spans="28:28" ht="14.25" customHeight="1" x14ac:dyDescent="0.3">
      <c r="AB728" s="4"/>
    </row>
    <row r="729" spans="28:28" ht="14.25" customHeight="1" x14ac:dyDescent="0.3">
      <c r="AB729" s="4"/>
    </row>
    <row r="730" spans="28:28" ht="14.25" customHeight="1" x14ac:dyDescent="0.3">
      <c r="AB730" s="4"/>
    </row>
    <row r="731" spans="28:28" ht="14.25" customHeight="1" x14ac:dyDescent="0.3">
      <c r="AB731" s="4"/>
    </row>
    <row r="732" spans="28:28" ht="14.25" customHeight="1" x14ac:dyDescent="0.3">
      <c r="AB732" s="4"/>
    </row>
    <row r="733" spans="28:28" ht="14.25" customHeight="1" x14ac:dyDescent="0.3">
      <c r="AB733" s="4"/>
    </row>
    <row r="734" spans="28:28" ht="14.25" customHeight="1" x14ac:dyDescent="0.3">
      <c r="AB734" s="4"/>
    </row>
    <row r="735" spans="28:28" ht="14.25" customHeight="1" x14ac:dyDescent="0.3">
      <c r="AB735" s="4"/>
    </row>
    <row r="736" spans="28:28" ht="14.25" customHeight="1" x14ac:dyDescent="0.3">
      <c r="AB736" s="4"/>
    </row>
    <row r="737" spans="28:28" ht="14.25" customHeight="1" x14ac:dyDescent="0.3">
      <c r="AB737" s="4"/>
    </row>
    <row r="738" spans="28:28" ht="14.25" customHeight="1" x14ac:dyDescent="0.3">
      <c r="AB738" s="4"/>
    </row>
    <row r="739" spans="28:28" ht="14.25" customHeight="1" x14ac:dyDescent="0.3">
      <c r="AB739" s="4"/>
    </row>
    <row r="740" spans="28:28" ht="14.25" customHeight="1" x14ac:dyDescent="0.3">
      <c r="AB740" s="4"/>
    </row>
    <row r="741" spans="28:28" ht="14.25" customHeight="1" x14ac:dyDescent="0.3">
      <c r="AB741" s="4"/>
    </row>
    <row r="742" spans="28:28" ht="14.25" customHeight="1" x14ac:dyDescent="0.3">
      <c r="AB742" s="4"/>
    </row>
    <row r="743" spans="28:28" ht="14.25" customHeight="1" x14ac:dyDescent="0.3">
      <c r="AB743" s="4"/>
    </row>
    <row r="744" spans="28:28" ht="14.25" customHeight="1" x14ac:dyDescent="0.3">
      <c r="AB744" s="4"/>
    </row>
    <row r="745" spans="28:28" ht="14.25" customHeight="1" x14ac:dyDescent="0.3">
      <c r="AB745" s="4"/>
    </row>
    <row r="746" spans="28:28" ht="14.25" customHeight="1" x14ac:dyDescent="0.3">
      <c r="AB746" s="4"/>
    </row>
    <row r="747" spans="28:28" ht="14.25" customHeight="1" x14ac:dyDescent="0.3">
      <c r="AB747" s="4"/>
    </row>
    <row r="748" spans="28:28" ht="14.25" customHeight="1" x14ac:dyDescent="0.3">
      <c r="AB748" s="4"/>
    </row>
    <row r="749" spans="28:28" ht="14.25" customHeight="1" x14ac:dyDescent="0.3">
      <c r="AB749" s="4"/>
    </row>
    <row r="750" spans="28:28" ht="14.25" customHeight="1" x14ac:dyDescent="0.3">
      <c r="AB750" s="4"/>
    </row>
    <row r="751" spans="28:28" ht="14.25" customHeight="1" x14ac:dyDescent="0.3">
      <c r="AB751" s="4"/>
    </row>
    <row r="752" spans="28:28" ht="14.25" customHeight="1" x14ac:dyDescent="0.3">
      <c r="AB752" s="4"/>
    </row>
    <row r="753" spans="28:28" ht="14.25" customHeight="1" x14ac:dyDescent="0.3">
      <c r="AB753" s="4"/>
    </row>
    <row r="754" spans="28:28" ht="14.25" customHeight="1" x14ac:dyDescent="0.3">
      <c r="AB754" s="4"/>
    </row>
    <row r="755" spans="28:28" ht="14.25" customHeight="1" x14ac:dyDescent="0.3">
      <c r="AB755" s="4"/>
    </row>
    <row r="756" spans="28:28" ht="14.25" customHeight="1" x14ac:dyDescent="0.3">
      <c r="AB756" s="4"/>
    </row>
    <row r="757" spans="28:28" ht="14.25" customHeight="1" x14ac:dyDescent="0.3">
      <c r="AB757" s="4"/>
    </row>
    <row r="758" spans="28:28" ht="14.25" customHeight="1" x14ac:dyDescent="0.3">
      <c r="AB758" s="4"/>
    </row>
    <row r="759" spans="28:28" ht="14.25" customHeight="1" x14ac:dyDescent="0.3">
      <c r="AB759" s="4"/>
    </row>
    <row r="760" spans="28:28" ht="14.25" customHeight="1" x14ac:dyDescent="0.3">
      <c r="AB760" s="4"/>
    </row>
    <row r="761" spans="28:28" ht="14.25" customHeight="1" x14ac:dyDescent="0.3">
      <c r="AB761" s="4"/>
    </row>
    <row r="762" spans="28:28" ht="14.25" customHeight="1" x14ac:dyDescent="0.3">
      <c r="AB762" s="4"/>
    </row>
    <row r="763" spans="28:28" ht="14.25" customHeight="1" x14ac:dyDescent="0.3">
      <c r="AB763" s="4"/>
    </row>
    <row r="764" spans="28:28" ht="14.25" customHeight="1" x14ac:dyDescent="0.3">
      <c r="AB764" s="4"/>
    </row>
    <row r="765" spans="28:28" ht="14.25" customHeight="1" x14ac:dyDescent="0.3">
      <c r="AB765" s="4"/>
    </row>
    <row r="766" spans="28:28" ht="14.25" customHeight="1" x14ac:dyDescent="0.3">
      <c r="AB766" s="4"/>
    </row>
    <row r="767" spans="28:28" ht="14.25" customHeight="1" x14ac:dyDescent="0.3">
      <c r="AB767" s="4"/>
    </row>
    <row r="768" spans="28:28" ht="14.25" customHeight="1" x14ac:dyDescent="0.3">
      <c r="AB768" s="4"/>
    </row>
    <row r="769" spans="28:28" ht="14.25" customHeight="1" x14ac:dyDescent="0.3">
      <c r="AB769" s="4"/>
    </row>
    <row r="770" spans="28:28" ht="14.25" customHeight="1" x14ac:dyDescent="0.3">
      <c r="AB770" s="4"/>
    </row>
    <row r="771" spans="28:28" ht="14.25" customHeight="1" x14ac:dyDescent="0.3">
      <c r="AB771" s="4"/>
    </row>
    <row r="772" spans="28:28" ht="14.25" customHeight="1" x14ac:dyDescent="0.3">
      <c r="AB772" s="4"/>
    </row>
    <row r="773" spans="28:28" ht="14.25" customHeight="1" x14ac:dyDescent="0.3">
      <c r="AB773" s="4"/>
    </row>
    <row r="774" spans="28:28" ht="14.25" customHeight="1" x14ac:dyDescent="0.3">
      <c r="AB774" s="4"/>
    </row>
    <row r="775" spans="28:28" ht="14.25" customHeight="1" x14ac:dyDescent="0.3">
      <c r="AB775" s="4"/>
    </row>
    <row r="776" spans="28:28" ht="14.25" customHeight="1" x14ac:dyDescent="0.3">
      <c r="AB776" s="4"/>
    </row>
    <row r="777" spans="28:28" ht="14.25" customHeight="1" x14ac:dyDescent="0.3">
      <c r="AB777" s="4"/>
    </row>
    <row r="778" spans="28:28" ht="14.25" customHeight="1" x14ac:dyDescent="0.3">
      <c r="AB778" s="4"/>
    </row>
    <row r="779" spans="28:28" ht="14.25" customHeight="1" x14ac:dyDescent="0.3">
      <c r="AB779" s="4"/>
    </row>
    <row r="780" spans="28:28" ht="14.25" customHeight="1" x14ac:dyDescent="0.3">
      <c r="AB780" s="4"/>
    </row>
    <row r="781" spans="28:28" ht="14.25" customHeight="1" x14ac:dyDescent="0.3">
      <c r="AB781" s="4"/>
    </row>
    <row r="782" spans="28:28" ht="14.25" customHeight="1" x14ac:dyDescent="0.3">
      <c r="AB782" s="4"/>
    </row>
    <row r="783" spans="28:28" ht="14.25" customHeight="1" x14ac:dyDescent="0.3">
      <c r="AB783" s="4"/>
    </row>
    <row r="784" spans="28:28" ht="14.25" customHeight="1" x14ac:dyDescent="0.3">
      <c r="AB784" s="4"/>
    </row>
    <row r="785" spans="28:28" ht="14.25" customHeight="1" x14ac:dyDescent="0.3">
      <c r="AB785" s="4"/>
    </row>
    <row r="786" spans="28:28" ht="14.25" customHeight="1" x14ac:dyDescent="0.3">
      <c r="AB786" s="4"/>
    </row>
    <row r="787" spans="28:28" ht="14.25" customHeight="1" x14ac:dyDescent="0.3">
      <c r="AB787" s="4"/>
    </row>
    <row r="788" spans="28:28" ht="14.25" customHeight="1" x14ac:dyDescent="0.3">
      <c r="AB788" s="4"/>
    </row>
    <row r="789" spans="28:28" ht="14.25" customHeight="1" x14ac:dyDescent="0.3">
      <c r="AB789" s="4"/>
    </row>
    <row r="790" spans="28:28" ht="14.25" customHeight="1" x14ac:dyDescent="0.3">
      <c r="AB790" s="4"/>
    </row>
    <row r="791" spans="28:28" ht="14.25" customHeight="1" x14ac:dyDescent="0.3">
      <c r="AB791" s="4"/>
    </row>
    <row r="792" spans="28:28" ht="14.25" customHeight="1" x14ac:dyDescent="0.3">
      <c r="AB792" s="4"/>
    </row>
    <row r="793" spans="28:28" ht="14.25" customHeight="1" x14ac:dyDescent="0.3">
      <c r="AB793" s="4"/>
    </row>
    <row r="794" spans="28:28" ht="14.25" customHeight="1" x14ac:dyDescent="0.3">
      <c r="AB794" s="4"/>
    </row>
    <row r="795" spans="28:28" ht="14.25" customHeight="1" x14ac:dyDescent="0.3">
      <c r="AB795" s="4"/>
    </row>
    <row r="796" spans="28:28" ht="14.25" customHeight="1" x14ac:dyDescent="0.3">
      <c r="AB796" s="4"/>
    </row>
    <row r="797" spans="28:28" ht="14.25" customHeight="1" x14ac:dyDescent="0.3">
      <c r="AB797" s="4"/>
    </row>
    <row r="798" spans="28:28" ht="14.25" customHeight="1" x14ac:dyDescent="0.3">
      <c r="AB798" s="4"/>
    </row>
    <row r="799" spans="28:28" ht="14.25" customHeight="1" x14ac:dyDescent="0.3">
      <c r="AB799" s="4"/>
    </row>
    <row r="800" spans="28:28" ht="14.25" customHeight="1" x14ac:dyDescent="0.3">
      <c r="AB800" s="4"/>
    </row>
    <row r="801" spans="28:28" ht="14.25" customHeight="1" x14ac:dyDescent="0.3">
      <c r="AB801" s="4"/>
    </row>
    <row r="802" spans="28:28" ht="14.25" customHeight="1" x14ac:dyDescent="0.3">
      <c r="AB802" s="4"/>
    </row>
    <row r="803" spans="28:28" ht="14.25" customHeight="1" x14ac:dyDescent="0.3">
      <c r="AB803" s="4"/>
    </row>
    <row r="804" spans="28:28" ht="14.25" customHeight="1" x14ac:dyDescent="0.3">
      <c r="AB804" s="4"/>
    </row>
    <row r="805" spans="28:28" ht="14.25" customHeight="1" x14ac:dyDescent="0.3">
      <c r="AB805" s="4"/>
    </row>
    <row r="806" spans="28:28" ht="14.25" customHeight="1" x14ac:dyDescent="0.3">
      <c r="AB806" s="4"/>
    </row>
    <row r="807" spans="28:28" ht="14.25" customHeight="1" x14ac:dyDescent="0.3">
      <c r="AB807" s="4"/>
    </row>
    <row r="808" spans="28:28" ht="14.25" customHeight="1" x14ac:dyDescent="0.3">
      <c r="AB808" s="4"/>
    </row>
    <row r="809" spans="28:28" ht="14.25" customHeight="1" x14ac:dyDescent="0.3">
      <c r="AB809" s="4"/>
    </row>
    <row r="810" spans="28:28" ht="14.25" customHeight="1" x14ac:dyDescent="0.3">
      <c r="AB810" s="4"/>
    </row>
    <row r="811" spans="28:28" ht="14.25" customHeight="1" x14ac:dyDescent="0.3">
      <c r="AB811" s="4"/>
    </row>
    <row r="812" spans="28:28" ht="14.25" customHeight="1" x14ac:dyDescent="0.3">
      <c r="AB812" s="4"/>
    </row>
    <row r="813" spans="28:28" ht="14.25" customHeight="1" x14ac:dyDescent="0.3">
      <c r="AB813" s="4"/>
    </row>
    <row r="814" spans="28:28" ht="14.25" customHeight="1" x14ac:dyDescent="0.3">
      <c r="AB814" s="4"/>
    </row>
    <row r="815" spans="28:28" ht="14.25" customHeight="1" x14ac:dyDescent="0.3">
      <c r="AB815" s="4"/>
    </row>
    <row r="816" spans="28:28" ht="14.25" customHeight="1" x14ac:dyDescent="0.3">
      <c r="AB816" s="4"/>
    </row>
    <row r="817" spans="28:28" ht="14.25" customHeight="1" x14ac:dyDescent="0.3">
      <c r="AB817" s="4"/>
    </row>
    <row r="818" spans="28:28" ht="14.25" customHeight="1" x14ac:dyDescent="0.3">
      <c r="AB818" s="4"/>
    </row>
    <row r="819" spans="28:28" ht="14.25" customHeight="1" x14ac:dyDescent="0.3">
      <c r="AB819" s="4"/>
    </row>
    <row r="820" spans="28:28" ht="14.25" customHeight="1" x14ac:dyDescent="0.3">
      <c r="AB820" s="4"/>
    </row>
    <row r="821" spans="28:28" ht="14.25" customHeight="1" x14ac:dyDescent="0.3">
      <c r="AB821" s="4"/>
    </row>
    <row r="822" spans="28:28" ht="14.25" customHeight="1" x14ac:dyDescent="0.3">
      <c r="AB822" s="4"/>
    </row>
    <row r="823" spans="28:28" ht="14.25" customHeight="1" x14ac:dyDescent="0.3">
      <c r="AB823" s="4"/>
    </row>
    <row r="824" spans="28:28" ht="14.25" customHeight="1" x14ac:dyDescent="0.3">
      <c r="AB824" s="4"/>
    </row>
    <row r="825" spans="28:28" ht="14.25" customHeight="1" x14ac:dyDescent="0.3">
      <c r="AB825" s="4"/>
    </row>
    <row r="826" spans="28:28" ht="14.25" customHeight="1" x14ac:dyDescent="0.3">
      <c r="AB826" s="4"/>
    </row>
    <row r="827" spans="28:28" ht="14.25" customHeight="1" x14ac:dyDescent="0.3">
      <c r="AB827" s="4"/>
    </row>
    <row r="828" spans="28:28" ht="14.25" customHeight="1" x14ac:dyDescent="0.3">
      <c r="AB828" s="4"/>
    </row>
    <row r="829" spans="28:28" ht="14.25" customHeight="1" x14ac:dyDescent="0.3">
      <c r="AB829" s="4"/>
    </row>
    <row r="830" spans="28:28" ht="14.25" customHeight="1" x14ac:dyDescent="0.3">
      <c r="AB830" s="4"/>
    </row>
    <row r="831" spans="28:28" ht="14.25" customHeight="1" x14ac:dyDescent="0.3">
      <c r="AB831" s="4"/>
    </row>
    <row r="832" spans="28:28" ht="14.25" customHeight="1" x14ac:dyDescent="0.3">
      <c r="AB832" s="4"/>
    </row>
    <row r="833" spans="28:28" ht="14.25" customHeight="1" x14ac:dyDescent="0.3">
      <c r="AB833" s="4"/>
    </row>
    <row r="834" spans="28:28" ht="14.25" customHeight="1" x14ac:dyDescent="0.3">
      <c r="AB834" s="4"/>
    </row>
    <row r="835" spans="28:28" ht="14.25" customHeight="1" x14ac:dyDescent="0.3">
      <c r="AB835" s="4"/>
    </row>
    <row r="836" spans="28:28" ht="14.25" customHeight="1" x14ac:dyDescent="0.3">
      <c r="AB836" s="4"/>
    </row>
    <row r="837" spans="28:28" ht="14.25" customHeight="1" x14ac:dyDescent="0.3">
      <c r="AB837" s="4"/>
    </row>
    <row r="838" spans="28:28" ht="14.25" customHeight="1" x14ac:dyDescent="0.3">
      <c r="AB838" s="4"/>
    </row>
    <row r="839" spans="28:28" ht="14.25" customHeight="1" x14ac:dyDescent="0.3">
      <c r="AB839" s="4"/>
    </row>
    <row r="840" spans="28:28" ht="14.25" customHeight="1" x14ac:dyDescent="0.3">
      <c r="AB840" s="4"/>
    </row>
    <row r="841" spans="28:28" ht="14.25" customHeight="1" x14ac:dyDescent="0.3">
      <c r="AB841" s="4"/>
    </row>
    <row r="842" spans="28:28" ht="14.25" customHeight="1" x14ac:dyDescent="0.3">
      <c r="AB842" s="4"/>
    </row>
    <row r="843" spans="28:28" ht="14.25" customHeight="1" x14ac:dyDescent="0.3">
      <c r="AB843" s="4"/>
    </row>
    <row r="844" spans="28:28" ht="14.25" customHeight="1" x14ac:dyDescent="0.3">
      <c r="AB844" s="4"/>
    </row>
    <row r="845" spans="28:28" ht="14.25" customHeight="1" x14ac:dyDescent="0.3">
      <c r="AB845" s="4"/>
    </row>
    <row r="846" spans="28:28" ht="14.25" customHeight="1" x14ac:dyDescent="0.3">
      <c r="AB846" s="4"/>
    </row>
    <row r="847" spans="28:28" ht="14.25" customHeight="1" x14ac:dyDescent="0.3">
      <c r="AB847" s="4"/>
    </row>
    <row r="848" spans="28:28" ht="14.25" customHeight="1" x14ac:dyDescent="0.3">
      <c r="AB848" s="4"/>
    </row>
    <row r="849" spans="28:28" ht="14.25" customHeight="1" x14ac:dyDescent="0.3">
      <c r="AB849" s="4"/>
    </row>
    <row r="850" spans="28:28" ht="14.25" customHeight="1" x14ac:dyDescent="0.3">
      <c r="AB850" s="4"/>
    </row>
    <row r="851" spans="28:28" ht="14.25" customHeight="1" x14ac:dyDescent="0.3">
      <c r="AB851" s="4"/>
    </row>
    <row r="852" spans="28:28" ht="14.25" customHeight="1" x14ac:dyDescent="0.3">
      <c r="AB852" s="4"/>
    </row>
    <row r="853" spans="28:28" ht="14.25" customHeight="1" x14ac:dyDescent="0.3">
      <c r="AB853" s="4"/>
    </row>
    <row r="854" spans="28:28" ht="14.25" customHeight="1" x14ac:dyDescent="0.3">
      <c r="AB854" s="4"/>
    </row>
    <row r="855" spans="28:28" ht="14.25" customHeight="1" x14ac:dyDescent="0.3">
      <c r="AB855" s="4"/>
    </row>
    <row r="856" spans="28:28" ht="14.25" customHeight="1" x14ac:dyDescent="0.3">
      <c r="AB856" s="4"/>
    </row>
    <row r="857" spans="28:28" ht="14.25" customHeight="1" x14ac:dyDescent="0.3">
      <c r="AB857" s="4"/>
    </row>
    <row r="858" spans="28:28" ht="14.25" customHeight="1" x14ac:dyDescent="0.3">
      <c r="AB858" s="4"/>
    </row>
    <row r="859" spans="28:28" ht="14.25" customHeight="1" x14ac:dyDescent="0.3">
      <c r="AB859" s="4"/>
    </row>
    <row r="860" spans="28:28" ht="14.25" customHeight="1" x14ac:dyDescent="0.3">
      <c r="AB860" s="4"/>
    </row>
    <row r="861" spans="28:28" ht="14.25" customHeight="1" x14ac:dyDescent="0.3">
      <c r="AB861" s="4"/>
    </row>
    <row r="862" spans="28:28" ht="14.25" customHeight="1" x14ac:dyDescent="0.3">
      <c r="AB862" s="4"/>
    </row>
    <row r="863" spans="28:28" ht="14.25" customHeight="1" x14ac:dyDescent="0.3">
      <c r="AB863" s="4"/>
    </row>
    <row r="864" spans="28:28" ht="14.25" customHeight="1" x14ac:dyDescent="0.3">
      <c r="AB864" s="4"/>
    </row>
    <row r="865" spans="28:28" ht="14.25" customHeight="1" x14ac:dyDescent="0.3">
      <c r="AB865" s="4"/>
    </row>
    <row r="866" spans="28:28" ht="14.25" customHeight="1" x14ac:dyDescent="0.3">
      <c r="AB866" s="4"/>
    </row>
    <row r="867" spans="28:28" ht="14.25" customHeight="1" x14ac:dyDescent="0.3">
      <c r="AB867" s="4"/>
    </row>
    <row r="868" spans="28:28" ht="14.25" customHeight="1" x14ac:dyDescent="0.3">
      <c r="AB868" s="4"/>
    </row>
    <row r="869" spans="28:28" ht="14.25" customHeight="1" x14ac:dyDescent="0.3">
      <c r="AB869" s="4"/>
    </row>
    <row r="870" spans="28:28" ht="14.25" customHeight="1" x14ac:dyDescent="0.3">
      <c r="AB870" s="4"/>
    </row>
    <row r="871" spans="28:28" ht="14.25" customHeight="1" x14ac:dyDescent="0.3">
      <c r="AB871" s="4"/>
    </row>
    <row r="872" spans="28:28" ht="14.25" customHeight="1" x14ac:dyDescent="0.3">
      <c r="AB872" s="4"/>
    </row>
    <row r="873" spans="28:28" ht="14.25" customHeight="1" x14ac:dyDescent="0.3">
      <c r="AB873" s="4"/>
    </row>
    <row r="874" spans="28:28" ht="14.25" customHeight="1" x14ac:dyDescent="0.3">
      <c r="AB874" s="4"/>
    </row>
    <row r="875" spans="28:28" ht="14.25" customHeight="1" x14ac:dyDescent="0.3">
      <c r="AB875" s="4"/>
    </row>
    <row r="876" spans="28:28" ht="14.25" customHeight="1" x14ac:dyDescent="0.3">
      <c r="AB876" s="4"/>
    </row>
    <row r="877" spans="28:28" ht="14.25" customHeight="1" x14ac:dyDescent="0.3">
      <c r="AB877" s="4"/>
    </row>
    <row r="878" spans="28:28" ht="14.25" customHeight="1" x14ac:dyDescent="0.3">
      <c r="AB878" s="4"/>
    </row>
    <row r="879" spans="28:28" ht="14.25" customHeight="1" x14ac:dyDescent="0.3">
      <c r="AB879" s="4"/>
    </row>
    <row r="880" spans="28:28" ht="14.25" customHeight="1" x14ac:dyDescent="0.3">
      <c r="AB880" s="4"/>
    </row>
    <row r="881" spans="28:28" ht="14.25" customHeight="1" x14ac:dyDescent="0.3">
      <c r="AB881" s="4"/>
    </row>
    <row r="882" spans="28:28" ht="14.25" customHeight="1" x14ac:dyDescent="0.3">
      <c r="AB882" s="4"/>
    </row>
    <row r="883" spans="28:28" ht="14.25" customHeight="1" x14ac:dyDescent="0.3">
      <c r="AB883" s="4"/>
    </row>
    <row r="884" spans="28:28" ht="14.25" customHeight="1" x14ac:dyDescent="0.3">
      <c r="AB884" s="4"/>
    </row>
    <row r="885" spans="28:28" ht="14.25" customHeight="1" x14ac:dyDescent="0.3">
      <c r="AB885" s="4"/>
    </row>
    <row r="886" spans="28:28" ht="14.25" customHeight="1" x14ac:dyDescent="0.3">
      <c r="AB886" s="4"/>
    </row>
    <row r="887" spans="28:28" ht="14.25" customHeight="1" x14ac:dyDescent="0.3">
      <c r="AB887" s="4"/>
    </row>
    <row r="888" spans="28:28" ht="14.25" customHeight="1" x14ac:dyDescent="0.3">
      <c r="AB888" s="4"/>
    </row>
    <row r="889" spans="28:28" ht="14.25" customHeight="1" x14ac:dyDescent="0.3">
      <c r="AB889" s="4"/>
    </row>
    <row r="890" spans="28:28" ht="14.25" customHeight="1" x14ac:dyDescent="0.3">
      <c r="AB890" s="4"/>
    </row>
    <row r="891" spans="28:28" ht="14.25" customHeight="1" x14ac:dyDescent="0.3">
      <c r="AB891" s="4"/>
    </row>
    <row r="892" spans="28:28" ht="14.25" customHeight="1" x14ac:dyDescent="0.3">
      <c r="AB892" s="4"/>
    </row>
    <row r="893" spans="28:28" ht="14.25" customHeight="1" x14ac:dyDescent="0.3">
      <c r="AB893" s="4"/>
    </row>
    <row r="894" spans="28:28" ht="14.25" customHeight="1" x14ac:dyDescent="0.3">
      <c r="AB894" s="4"/>
    </row>
    <row r="895" spans="28:28" ht="14.25" customHeight="1" x14ac:dyDescent="0.3">
      <c r="AB895" s="4"/>
    </row>
    <row r="896" spans="28:28" ht="14.25" customHeight="1" x14ac:dyDescent="0.3">
      <c r="AB896" s="4"/>
    </row>
    <row r="897" spans="28:28" ht="14.25" customHeight="1" x14ac:dyDescent="0.3">
      <c r="AB897" s="4"/>
    </row>
    <row r="898" spans="28:28" ht="14.25" customHeight="1" x14ac:dyDescent="0.3">
      <c r="AB898" s="4"/>
    </row>
    <row r="899" spans="28:28" ht="14.25" customHeight="1" x14ac:dyDescent="0.3">
      <c r="AB899" s="4"/>
    </row>
    <row r="900" spans="28:28" ht="14.25" customHeight="1" x14ac:dyDescent="0.3">
      <c r="AB900" s="4"/>
    </row>
    <row r="901" spans="28:28" ht="14.25" customHeight="1" x14ac:dyDescent="0.3">
      <c r="AB901" s="4"/>
    </row>
    <row r="902" spans="28:28" ht="14.25" customHeight="1" x14ac:dyDescent="0.3">
      <c r="AB902" s="4"/>
    </row>
    <row r="903" spans="28:28" ht="14.25" customHeight="1" x14ac:dyDescent="0.3">
      <c r="AB903" s="4"/>
    </row>
    <row r="904" spans="28:28" ht="14.25" customHeight="1" x14ac:dyDescent="0.3">
      <c r="AB904" s="4"/>
    </row>
    <row r="905" spans="28:28" ht="14.25" customHeight="1" x14ac:dyDescent="0.3">
      <c r="AB905" s="4"/>
    </row>
    <row r="906" spans="28:28" ht="14.25" customHeight="1" x14ac:dyDescent="0.3">
      <c r="AB906" s="4"/>
    </row>
    <row r="907" spans="28:28" ht="14.25" customHeight="1" x14ac:dyDescent="0.3">
      <c r="AB907" s="4"/>
    </row>
    <row r="908" spans="28:28" ht="14.25" customHeight="1" x14ac:dyDescent="0.3">
      <c r="AB908" s="4"/>
    </row>
    <row r="909" spans="28:28" ht="14.25" customHeight="1" x14ac:dyDescent="0.3">
      <c r="AB909" s="4"/>
    </row>
    <row r="910" spans="28:28" ht="14.25" customHeight="1" x14ac:dyDescent="0.3">
      <c r="AB910" s="4"/>
    </row>
    <row r="911" spans="28:28" ht="14.25" customHeight="1" x14ac:dyDescent="0.3">
      <c r="AB911" s="4"/>
    </row>
    <row r="912" spans="28:28" ht="14.25" customHeight="1" x14ac:dyDescent="0.3">
      <c r="AB912" s="4"/>
    </row>
    <row r="913" spans="28:28" ht="14.25" customHeight="1" x14ac:dyDescent="0.3">
      <c r="AB913" s="4"/>
    </row>
    <row r="914" spans="28:28" ht="14.25" customHeight="1" x14ac:dyDescent="0.3">
      <c r="AB914" s="4"/>
    </row>
    <row r="915" spans="28:28" ht="14.25" customHeight="1" x14ac:dyDescent="0.3">
      <c r="AB915" s="4"/>
    </row>
    <row r="916" spans="28:28" ht="14.25" customHeight="1" x14ac:dyDescent="0.3">
      <c r="AB916" s="4"/>
    </row>
    <row r="917" spans="28:28" ht="14.25" customHeight="1" x14ac:dyDescent="0.3">
      <c r="AB917" s="4"/>
    </row>
    <row r="918" spans="28:28" ht="14.25" customHeight="1" x14ac:dyDescent="0.3">
      <c r="AB918" s="4"/>
    </row>
    <row r="919" spans="28:28" ht="14.25" customHeight="1" x14ac:dyDescent="0.3">
      <c r="AB919" s="4"/>
    </row>
    <row r="920" spans="28:28" ht="14.25" customHeight="1" x14ac:dyDescent="0.3">
      <c r="AB920" s="4"/>
    </row>
    <row r="921" spans="28:28" ht="14.25" customHeight="1" x14ac:dyDescent="0.3">
      <c r="AB921" s="4"/>
    </row>
    <row r="922" spans="28:28" ht="14.25" customHeight="1" x14ac:dyDescent="0.3">
      <c r="AB922" s="4"/>
    </row>
    <row r="923" spans="28:28" ht="14.25" customHeight="1" x14ac:dyDescent="0.3">
      <c r="AB923" s="4"/>
    </row>
    <row r="924" spans="28:28" ht="14.25" customHeight="1" x14ac:dyDescent="0.3">
      <c r="AB924" s="4"/>
    </row>
    <row r="925" spans="28:28" ht="14.25" customHeight="1" x14ac:dyDescent="0.3">
      <c r="AB925" s="4"/>
    </row>
    <row r="926" spans="28:28" ht="14.25" customHeight="1" x14ac:dyDescent="0.3">
      <c r="AB926" s="4"/>
    </row>
    <row r="927" spans="28:28" ht="14.25" customHeight="1" x14ac:dyDescent="0.3">
      <c r="AB927" s="4"/>
    </row>
    <row r="928" spans="28:28" ht="14.25" customHeight="1" x14ac:dyDescent="0.3">
      <c r="AB928" s="4"/>
    </row>
    <row r="929" spans="28:28" ht="14.25" customHeight="1" x14ac:dyDescent="0.3">
      <c r="AB929" s="4"/>
    </row>
    <row r="930" spans="28:28" ht="14.25" customHeight="1" x14ac:dyDescent="0.3">
      <c r="AB930" s="4"/>
    </row>
    <row r="931" spans="28:28" ht="14.25" customHeight="1" x14ac:dyDescent="0.3">
      <c r="AB931" s="4"/>
    </row>
    <row r="932" spans="28:28" ht="14.25" customHeight="1" x14ac:dyDescent="0.3">
      <c r="AB932" s="4"/>
    </row>
    <row r="933" spans="28:28" ht="14.25" customHeight="1" x14ac:dyDescent="0.3">
      <c r="AB933" s="4"/>
    </row>
    <row r="934" spans="28:28" ht="14.25" customHeight="1" x14ac:dyDescent="0.3">
      <c r="AB934" s="4"/>
    </row>
    <row r="935" spans="28:28" ht="14.25" customHeight="1" x14ac:dyDescent="0.3">
      <c r="AB935" s="4"/>
    </row>
    <row r="936" spans="28:28" ht="14.25" customHeight="1" x14ac:dyDescent="0.3">
      <c r="AB936" s="4"/>
    </row>
    <row r="937" spans="28:28" ht="14.25" customHeight="1" x14ac:dyDescent="0.3">
      <c r="AB937" s="4"/>
    </row>
    <row r="938" spans="28:28" ht="14.25" customHeight="1" x14ac:dyDescent="0.3">
      <c r="AB938" s="4"/>
    </row>
    <row r="939" spans="28:28" ht="14.25" customHeight="1" x14ac:dyDescent="0.3">
      <c r="AB939" s="4"/>
    </row>
    <row r="940" spans="28:28" ht="14.25" customHeight="1" x14ac:dyDescent="0.3">
      <c r="AB940" s="4"/>
    </row>
    <row r="941" spans="28:28" ht="14.25" customHeight="1" x14ac:dyDescent="0.3">
      <c r="AB941" s="4"/>
    </row>
    <row r="942" spans="28:28" ht="14.25" customHeight="1" x14ac:dyDescent="0.3">
      <c r="AB942" s="4"/>
    </row>
    <row r="943" spans="28:28" ht="14.25" customHeight="1" x14ac:dyDescent="0.3">
      <c r="AB943" s="4"/>
    </row>
    <row r="944" spans="28:28" ht="14.25" customHeight="1" x14ac:dyDescent="0.3">
      <c r="AB944" s="4"/>
    </row>
    <row r="945" spans="28:28" ht="14.25" customHeight="1" x14ac:dyDescent="0.3">
      <c r="AB945" s="4"/>
    </row>
    <row r="946" spans="28:28" ht="14.25" customHeight="1" x14ac:dyDescent="0.3">
      <c r="AB946" s="4"/>
    </row>
    <row r="947" spans="28:28" ht="14.25" customHeight="1" x14ac:dyDescent="0.3">
      <c r="AB947" s="4"/>
    </row>
    <row r="948" spans="28:28" ht="14.25" customHeight="1" x14ac:dyDescent="0.3">
      <c r="AB948" s="4"/>
    </row>
    <row r="949" spans="28:28" ht="14.25" customHeight="1" x14ac:dyDescent="0.3">
      <c r="AB949" s="4"/>
    </row>
    <row r="950" spans="28:28" ht="14.25" customHeight="1" x14ac:dyDescent="0.3">
      <c r="AB950" s="4"/>
    </row>
    <row r="951" spans="28:28" ht="14.25" customHeight="1" x14ac:dyDescent="0.3">
      <c r="AB951" s="4"/>
    </row>
    <row r="952" spans="28:28" ht="14.25" customHeight="1" x14ac:dyDescent="0.3">
      <c r="AB952" s="4"/>
    </row>
    <row r="953" spans="28:28" ht="14.25" customHeight="1" x14ac:dyDescent="0.3">
      <c r="AB953" s="4"/>
    </row>
    <row r="954" spans="28:28" ht="14.25" customHeight="1" x14ac:dyDescent="0.3">
      <c r="AB954" s="4"/>
    </row>
    <row r="955" spans="28:28" ht="14.25" customHeight="1" x14ac:dyDescent="0.3">
      <c r="AB955" s="4"/>
    </row>
    <row r="956" spans="28:28" ht="14.25" customHeight="1" x14ac:dyDescent="0.3">
      <c r="AB956" s="4"/>
    </row>
    <row r="957" spans="28:28" ht="14.25" customHeight="1" x14ac:dyDescent="0.3">
      <c r="AB957" s="4"/>
    </row>
    <row r="958" spans="28:28" ht="14.25" customHeight="1" x14ac:dyDescent="0.3">
      <c r="AB958" s="4"/>
    </row>
    <row r="959" spans="28:28" ht="14.25" customHeight="1" x14ac:dyDescent="0.3">
      <c r="AB959" s="4"/>
    </row>
    <row r="960" spans="28:28" ht="14.25" customHeight="1" x14ac:dyDescent="0.3">
      <c r="AB960" s="4"/>
    </row>
    <row r="961" spans="28:28" ht="14.25" customHeight="1" x14ac:dyDescent="0.3">
      <c r="AB961" s="4"/>
    </row>
    <row r="962" spans="28:28" ht="14.25" customHeight="1" x14ac:dyDescent="0.3">
      <c r="AB962" s="4"/>
    </row>
    <row r="963" spans="28:28" ht="14.25" customHeight="1" x14ac:dyDescent="0.3">
      <c r="AB963" s="4"/>
    </row>
    <row r="964" spans="28:28" ht="14.25" customHeight="1" x14ac:dyDescent="0.3">
      <c r="AB964" s="4"/>
    </row>
    <row r="965" spans="28:28" ht="14.25" customHeight="1" x14ac:dyDescent="0.3">
      <c r="AB965" s="4"/>
    </row>
    <row r="966" spans="28:28" ht="14.25" customHeight="1" x14ac:dyDescent="0.3">
      <c r="AB966" s="4"/>
    </row>
    <row r="967" spans="28:28" ht="14.25" customHeight="1" x14ac:dyDescent="0.3">
      <c r="AB967" s="4"/>
    </row>
    <row r="968" spans="28:28" ht="14.25" customHeight="1" x14ac:dyDescent="0.3">
      <c r="AB968" s="4"/>
    </row>
    <row r="969" spans="28:28" ht="14.25" customHeight="1" x14ac:dyDescent="0.3">
      <c r="AB969" s="4"/>
    </row>
    <row r="970" spans="28:28" ht="14.25" customHeight="1" x14ac:dyDescent="0.3">
      <c r="AB970" s="4"/>
    </row>
    <row r="971" spans="28:28" ht="14.25" customHeight="1" x14ac:dyDescent="0.3">
      <c r="AB971" s="4"/>
    </row>
    <row r="972" spans="28:28" ht="14.25" customHeight="1" x14ac:dyDescent="0.3">
      <c r="AB972" s="4"/>
    </row>
    <row r="973" spans="28:28" ht="14.25" customHeight="1" x14ac:dyDescent="0.3">
      <c r="AB973" s="4"/>
    </row>
    <row r="974" spans="28:28" ht="14.25" customHeight="1" x14ac:dyDescent="0.3">
      <c r="AB974" s="4"/>
    </row>
    <row r="975" spans="28:28" ht="14.25" customHeight="1" x14ac:dyDescent="0.3">
      <c r="AB975" s="4"/>
    </row>
    <row r="976" spans="28:28" ht="14.25" customHeight="1" x14ac:dyDescent="0.3">
      <c r="AB976" s="4"/>
    </row>
    <row r="977" spans="28:28" ht="14.25" customHeight="1" x14ac:dyDescent="0.3">
      <c r="AB977" s="4"/>
    </row>
    <row r="978" spans="28:28" ht="14.25" customHeight="1" x14ac:dyDescent="0.3">
      <c r="AB978" s="4"/>
    </row>
    <row r="979" spans="28:28" ht="14.25" customHeight="1" x14ac:dyDescent="0.3">
      <c r="AB979" s="4"/>
    </row>
    <row r="980" spans="28:28" ht="14.25" customHeight="1" x14ac:dyDescent="0.3">
      <c r="AB980" s="4"/>
    </row>
    <row r="981" spans="28:28" ht="14.25" customHeight="1" x14ac:dyDescent="0.3">
      <c r="AB981" s="4"/>
    </row>
    <row r="982" spans="28:28" ht="14.25" customHeight="1" x14ac:dyDescent="0.3">
      <c r="AB982" s="4"/>
    </row>
    <row r="983" spans="28:28" ht="14.25" customHeight="1" x14ac:dyDescent="0.3">
      <c r="AB983" s="4"/>
    </row>
    <row r="984" spans="28:28" ht="14.25" customHeight="1" x14ac:dyDescent="0.3">
      <c r="AB984" s="4"/>
    </row>
    <row r="985" spans="28:28" ht="14.25" customHeight="1" x14ac:dyDescent="0.3">
      <c r="AB985" s="4"/>
    </row>
    <row r="986" spans="28:28" ht="14.25" customHeight="1" x14ac:dyDescent="0.3">
      <c r="AB986" s="4"/>
    </row>
    <row r="987" spans="28:28" ht="14.25" customHeight="1" x14ac:dyDescent="0.3">
      <c r="AB987" s="4"/>
    </row>
    <row r="988" spans="28:28" ht="14.25" customHeight="1" x14ac:dyDescent="0.3">
      <c r="AB988" s="4"/>
    </row>
    <row r="989" spans="28:28" ht="14.25" customHeight="1" x14ac:dyDescent="0.3">
      <c r="AB989" s="4"/>
    </row>
    <row r="990" spans="28:28" ht="14.25" customHeight="1" x14ac:dyDescent="0.3">
      <c r="AB990" s="4"/>
    </row>
    <row r="991" spans="28:28" ht="14.25" customHeight="1" x14ac:dyDescent="0.3">
      <c r="AB991" s="4"/>
    </row>
    <row r="992" spans="28:28" ht="14.25" customHeight="1" x14ac:dyDescent="0.3">
      <c r="AB992" s="4"/>
    </row>
    <row r="993" spans="28:28" ht="14.25" customHeight="1" x14ac:dyDescent="0.3">
      <c r="AB993" s="4"/>
    </row>
    <row r="994" spans="28:28" ht="14.25" customHeight="1" x14ac:dyDescent="0.3">
      <c r="AB994" s="4"/>
    </row>
    <row r="995" spans="28:28" ht="14.25" customHeight="1" x14ac:dyDescent="0.3">
      <c r="AB995" s="4"/>
    </row>
    <row r="996" spans="28:28" ht="14.25" customHeight="1" x14ac:dyDescent="0.3">
      <c r="AB996" s="4"/>
    </row>
    <row r="997" spans="28:28" ht="14.25" customHeight="1" x14ac:dyDescent="0.3">
      <c r="AB997" s="4"/>
    </row>
    <row r="998" spans="28:28" ht="14.25" customHeight="1" x14ac:dyDescent="0.3">
      <c r="AB998" s="4"/>
    </row>
    <row r="999" spans="28:28" ht="14.25" customHeight="1" x14ac:dyDescent="0.3">
      <c r="AB999" s="4"/>
    </row>
    <row r="1000" spans="28:28" ht="14.25" customHeight="1" x14ac:dyDescent="0.3">
      <c r="AB1000" s="4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Yadav</cp:lastModifiedBy>
  <dcterms:created xsi:type="dcterms:W3CDTF">2025-11-17T21:38:51Z</dcterms:created>
  <dcterms:modified xsi:type="dcterms:W3CDTF">2025-12-08T11:57:34Z</dcterms:modified>
</cp:coreProperties>
</file>